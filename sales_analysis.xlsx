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yasodarana/Desktop/"/>
    </mc:Choice>
  </mc:AlternateContent>
  <xr:revisionPtr revIDLastSave="0" documentId="8_{96ACFFBC-244D-BF4F-B8FE-11D1F05E030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taset1_SalesData" sheetId="1" r:id="rId1"/>
    <sheet name="Analysis_1" sheetId="9" r:id="rId2"/>
    <sheet name="Dataset2_EmployeeSales" sheetId="2" r:id="rId3"/>
    <sheet name="Analysis_2" sheetId="10" r:id="rId4"/>
    <sheet name="Dataset3_RetailStock" sheetId="3" r:id="rId5"/>
    <sheet name="Dataset4_Transactions" sheetId="4" r:id="rId6"/>
    <sheet name="Analysis_4" sheetId="13" r:id="rId7"/>
    <sheet name="Dataset5_WeatherData" sheetId="5" r:id="rId8"/>
  </sheets>
  <definedNames>
    <definedName name="_xlchart.v1.0" hidden="1">Dataset4_Transactions!$B$1</definedName>
    <definedName name="_xlchart.v1.1" hidden="1">Dataset4_Transactions!$B$2:$B$101</definedName>
    <definedName name="_xlchart.v1.2" hidden="1">Dataset4_Transactions!$B$1</definedName>
    <definedName name="_xlchart.v1.3" hidden="1">Dataset4_Transactions!$B$2:$B$101</definedName>
    <definedName name="_xlchart.v1.4" hidden="1">Dataset5_WeatherData!$H$2:$H$25</definedName>
    <definedName name="Cost_Per_Unit">Dataset3_RetailStock!$D:$D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egion">Dataset1_SalesData!$D:$D</definedName>
    <definedName name="Sales">Dataset1_SalesData!$C:$C</definedName>
    <definedName name="solver_adj" localSheetId="4" hidden="1">Dataset3_RetailStock!$B$2:$B$101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itr" localSheetId="4" hidden="1">2147483647</definedName>
    <definedName name="solver_lhs1" localSheetId="4" hidden="1">Dataset3_RetailStock!$B$2:$B$101</definedName>
    <definedName name="solver_lhs2" localSheetId="4" hidden="1">Dataset3_RetailStock!$B$2:$B$101</definedName>
    <definedName name="solver_lin" localSheetId="4" hidden="1">2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opt" localSheetId="4" hidden="1">Dataset3_RetailStock!$H$5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2" localSheetId="4" hidden="1">3</definedName>
    <definedName name="solver_rhs1" localSheetId="4" hidden="1">200</definedName>
    <definedName name="solver_rhs2" localSheetId="4" hidden="1">Dataset3_RetailStock!$C$2:$C$101</definedName>
    <definedName name="solver_rlx" localSheetId="4" hidden="1">1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2</definedName>
    <definedName name="Stock_Level">Dataset3_RetailStock!$B$1:$B$101</definedName>
  </definedNames>
  <calcPr calcId="191029"/>
  <pivotCaches>
    <pivotCache cacheId="23" r:id="rId9"/>
    <pivotCache cacheId="3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" i="5"/>
  <c r="E73" i="3"/>
  <c r="G2" i="5" a="1"/>
  <c r="G2" i="5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2" i="5"/>
  <c r="M3" i="4"/>
  <c r="M2" i="4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  <c r="H5" i="3" l="1"/>
  <c r="I3" i="10"/>
  <c r="H3" i="10"/>
  <c r="G3" i="10"/>
  <c r="F3" i="10"/>
  <c r="I2" i="10"/>
  <c r="H2" i="10"/>
  <c r="G2" i="10"/>
  <c r="F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2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3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2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2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<sst xmlns="http://schemas.openxmlformats.org/spreadsheetml/2006/main" count="1040" uniqueCount="319">
  <si>
    <t>Date</t>
  </si>
  <si>
    <t>Product</t>
  </si>
  <si>
    <t>Sales</t>
  </si>
  <si>
    <t>Region</t>
  </si>
  <si>
    <t>Category</t>
  </si>
  <si>
    <t>Product C</t>
  </si>
  <si>
    <t>Product D</t>
  </si>
  <si>
    <t>Product A</t>
  </si>
  <si>
    <t>Product B</t>
  </si>
  <si>
    <t>North</t>
  </si>
  <si>
    <t>East</t>
  </si>
  <si>
    <t>West</t>
  </si>
  <si>
    <t>South</t>
  </si>
  <si>
    <t>Electronics</t>
  </si>
  <si>
    <t>Furniture</t>
  </si>
  <si>
    <t>Toys</t>
  </si>
  <si>
    <t>Clothing</t>
  </si>
  <si>
    <t>Employee ID</t>
  </si>
  <si>
    <t>Hours Worked</t>
  </si>
  <si>
    <t>Cost</t>
  </si>
  <si>
    <t>Department</t>
  </si>
  <si>
    <t>Operations</t>
  </si>
  <si>
    <t>HR</t>
  </si>
  <si>
    <t>Marketing</t>
  </si>
  <si>
    <t>Product ID</t>
  </si>
  <si>
    <t>Stock Level</t>
  </si>
  <si>
    <t>Reorder Point</t>
  </si>
  <si>
    <t>Cost Per Unit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</si>
  <si>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</si>
  <si>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</si>
  <si>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</si>
  <si>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</si>
  <si>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</si>
  <si>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</si>
  <si>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</si>
  <si>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</si>
  <si>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</si>
  <si>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</si>
  <si>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</si>
  <si>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</si>
  <si>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</si>
  <si>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</si>
  <si>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</si>
  <si>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</si>
  <si>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</si>
  <si>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</si>
  <si>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</si>
  <si>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</si>
  <si>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</si>
  <si>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</si>
  <si>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</si>
  <si>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</si>
  <si>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</si>
  <si>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</si>
  <si>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</si>
  <si>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</si>
  <si>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</si>
  <si>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</si>
  <si>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</si>
  <si>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</si>
  <si>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</si>
  <si>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</si>
  <si>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</si>
  <si>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</si>
  <si>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</si>
  <si>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</si>
  <si>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</si>
  <si>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</si>
  <si>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</si>
  <si>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</si>
  <si>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</si>
  <si>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</si>
  <si>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</si>
  <si>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</si>
  <si>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</si>
  <si>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</si>
  <si>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</si>
  <si>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</si>
  <si>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</si>
  <si>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</si>
  <si>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</si>
  <si>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</si>
  <si>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</si>
  <si>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</si>
  <si>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</si>
  <si>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</si>
  <si>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</si>
  <si>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</si>
  <si>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</si>
  <si>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</si>
  <si>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</si>
  <si>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</si>
  <si>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</si>
  <si>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</si>
  <si>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</si>
  <si>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</si>
  <si>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</si>
  <si>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</si>
  <si>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</si>
  <si>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</si>
  <si>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</si>
  <si>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</si>
  <si>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</si>
  <si>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</si>
  <si>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</si>
  <si>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</si>
  <si>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</si>
  <si>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</si>
  <si>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</si>
  <si>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</si>
  <si>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</si>
  <si>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</si>
  <si>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</si>
  <si>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</si>
  <si>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</si>
  <si>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</si>
  <si>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</si>
  <si>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</si>
  <si>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</si>
  <si>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</si>
  <si>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</si>
  <si>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</si>
  <si>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</si>
  <si>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</si>
  <si>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</si>
  <si>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</si>
  <si>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</si>
  <si>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</si>
  <si>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Transaction ID</t>
  </si>
  <si>
    <t>Amount</t>
  </si>
  <si>
    <t>Type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</si>
  <si>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</si>
  <si>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</si>
  <si>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</si>
  <si>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</si>
  <si>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</si>
  <si>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</si>
  <si>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</si>
  <si>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</si>
  <si>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</si>
  <si>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</si>
  <si>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</si>
  <si>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</si>
  <si>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</si>
  <si>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</si>
  <si>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</si>
  <si>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</si>
  <si>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</si>
  <si>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</si>
  <si>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</si>
  <si>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</si>
  <si>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</si>
  <si>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</si>
  <si>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</si>
  <si>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</si>
  <si>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</si>
  <si>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</si>
  <si>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</si>
  <si>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</si>
  <si>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</si>
  <si>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</si>
  <si>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</si>
  <si>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</si>
  <si>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</si>
  <si>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</si>
  <si>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</si>
  <si>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</si>
  <si>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</si>
  <si>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</si>
  <si>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</si>
  <si>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</si>
  <si>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</si>
  <si>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</si>
  <si>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</si>
  <si>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</si>
  <si>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</si>
  <si>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</si>
  <si>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</si>
  <si>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</si>
  <si>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</si>
  <si>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</si>
  <si>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</si>
  <si>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</si>
  <si>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</si>
  <si>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</si>
  <si>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</si>
  <si>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</si>
  <si>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</si>
  <si>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</si>
  <si>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</si>
  <si>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</si>
  <si>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</si>
  <si>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</si>
  <si>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</si>
  <si>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</si>
  <si>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</si>
  <si>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</si>
  <si>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</si>
  <si>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</si>
  <si>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</si>
  <si>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</si>
  <si>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</si>
  <si>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</si>
  <si>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</si>
  <si>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</si>
  <si>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</si>
  <si>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</si>
  <si>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</si>
  <si>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</si>
  <si>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</si>
  <si>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</si>
  <si>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</si>
  <si>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</si>
  <si>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</si>
  <si>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</si>
  <si>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</si>
  <si>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</si>
  <si>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</si>
  <si>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</si>
  <si>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</si>
  <si>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</si>
  <si>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</si>
  <si>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</si>
  <si>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</si>
  <si>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</si>
  <si>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</si>
  <si>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</si>
  <si>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</si>
  <si>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</si>
  <si>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</si>
  <si>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</si>
  <si>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Credit</t>
  </si>
  <si>
    <t>Debit</t>
  </si>
  <si>
    <t>Year</t>
  </si>
  <si>
    <t>Month</t>
  </si>
  <si>
    <t>State</t>
  </si>
  <si>
    <t>Precipitation</t>
  </si>
  <si>
    <t>Mar</t>
  </si>
  <si>
    <t>May</t>
  </si>
  <si>
    <t>Dec</t>
  </si>
  <si>
    <t>Nov</t>
  </si>
  <si>
    <t>Jan</t>
  </si>
  <si>
    <t>Oct</t>
  </si>
  <si>
    <t>Sep</t>
  </si>
  <si>
    <t>Jul</t>
  </si>
  <si>
    <t>Aug</t>
  </si>
  <si>
    <t>Jun</t>
  </si>
  <si>
    <t>Feb</t>
  </si>
  <si>
    <t>Apr</t>
  </si>
  <si>
    <t>Texas</t>
  </si>
  <si>
    <t>New York</t>
  </si>
  <si>
    <t>Florida</t>
  </si>
  <si>
    <t>California</t>
  </si>
  <si>
    <t>Project 1: Regional Sales Analysis</t>
  </si>
  <si>
    <r>
      <t>Objective</t>
    </r>
    <r>
      <rPr>
        <sz val="16"/>
        <color rgb="FF2D3B45"/>
        <rFont val="Helvetica Neue"/>
        <family val="2"/>
      </rPr>
      <t>: Analyze and summarize sales performance across different regions.</t>
    </r>
  </si>
  <si>
    <r>
      <t>Dataset</t>
    </r>
    <r>
      <rPr>
        <sz val="16"/>
        <color rgb="FF2D3B45"/>
        <rFont val="Helvetica Neue"/>
        <family val="2"/>
      </rPr>
      <t>: Dataset 1 (Sales Data for Visualization Tasks).</t>
    </r>
  </si>
  <si>
    <r>
      <t>Requirements</t>
    </r>
    <r>
      <rPr>
        <sz val="16"/>
        <color rgb="FF2D3B45"/>
        <rFont val="Helvetica Neue"/>
        <family val="2"/>
      </rPr>
      <t>:</t>
    </r>
  </si>
  <si>
    <r>
      <t>Use </t>
    </r>
    <r>
      <rPr>
        <b/>
        <sz val="16"/>
        <color rgb="FF2D3B45"/>
        <rFont val="Helvetica Neue"/>
        <family val="2"/>
      </rPr>
      <t>COUNTIF</t>
    </r>
    <r>
      <rPr>
        <sz val="16"/>
        <color rgb="FF2D3B45"/>
        <rFont val="Helvetica Neue"/>
        <family val="2"/>
      </rPr>
      <t> and </t>
    </r>
    <r>
      <rPr>
        <b/>
        <sz val="16"/>
        <color rgb="FF2D3B45"/>
        <rFont val="Helvetica Neue"/>
        <family val="2"/>
      </rPr>
      <t>SUMIF</t>
    </r>
    <r>
      <rPr>
        <sz val="16"/>
        <color rgb="FF2D3B45"/>
        <rFont val="Helvetica Neue"/>
        <family val="2"/>
      </rPr>
      <t> to calculate total sales and transaction counts for each region.</t>
    </r>
  </si>
  <si>
    <r>
      <t>Create a </t>
    </r>
    <r>
      <rPr>
        <b/>
        <sz val="16"/>
        <color rgb="FF2D3B45"/>
        <rFont val="Helvetica Neue"/>
        <family val="2"/>
      </rPr>
      <t>named range</t>
    </r>
    <r>
      <rPr>
        <sz val="16"/>
        <color rgb="FF2D3B45"/>
        <rFont val="Helvetica Neue"/>
        <family val="2"/>
      </rPr>
      <t> for the regions and use it in formulas.</t>
    </r>
  </si>
  <si>
    <r>
      <t>Generate a </t>
    </r>
    <r>
      <rPr>
        <b/>
        <sz val="16"/>
        <color rgb="FF2D3B45"/>
        <rFont val="Helvetica Neue"/>
        <family val="2"/>
      </rPr>
      <t>pivot table</t>
    </r>
    <r>
      <rPr>
        <sz val="16"/>
        <color rgb="FF2D3B45"/>
        <rFont val="Helvetica Neue"/>
        <family val="2"/>
      </rPr>
      <t> to display total sales by product category and region.</t>
    </r>
  </si>
  <si>
    <r>
      <t>Visualize the results using a </t>
    </r>
    <r>
      <rPr>
        <b/>
        <sz val="16"/>
        <color rgb="FF2D3B45"/>
        <rFont val="Helvetica Neue"/>
        <family val="2"/>
      </rPr>
      <t>stacked bar chart</t>
    </r>
    <r>
      <rPr>
        <sz val="16"/>
        <color rgb="FF2D3B45"/>
        <rFont val="Helvetica Neue"/>
        <family val="2"/>
      </rPr>
      <t>comparing regions by category.</t>
    </r>
  </si>
  <si>
    <t>Row Labels</t>
  </si>
  <si>
    <t>Grand Total</t>
  </si>
  <si>
    <t>(blank)</t>
  </si>
  <si>
    <t>&lt;1/1/23</t>
  </si>
  <si>
    <t>Sum of Sales</t>
  </si>
  <si>
    <t>Column Labels</t>
  </si>
  <si>
    <t>Project 2: Employee Performance Dashboard</t>
  </si>
  <si>
    <r>
      <t>Objective</t>
    </r>
    <r>
      <rPr>
        <sz val="16"/>
        <color rgb="FF2D3B45"/>
        <rFont val="Helvetica Neue"/>
        <family val="2"/>
      </rPr>
      <t>: Create a performance dashboard for employees based on sales and hours worked.</t>
    </r>
  </si>
  <si>
    <r>
      <t>Dataset</t>
    </r>
    <r>
      <rPr>
        <sz val="16"/>
        <color rgb="FF2D3B45"/>
        <rFont val="Helvetica Neue"/>
        <family val="2"/>
      </rPr>
      <t>: Dataset 2 (Employee Sales Performance).</t>
    </r>
  </si>
  <si>
    <r>
      <t>Add a calculated column for sales per hour using </t>
    </r>
    <r>
      <rPr>
        <b/>
        <sz val="16"/>
        <color rgb="FF2D3B45"/>
        <rFont val="Helvetica Neue"/>
        <family val="2"/>
      </rPr>
      <t>simple arithmetic formulas</t>
    </r>
    <r>
      <rPr>
        <sz val="16"/>
        <color rgb="FF2D3B45"/>
        <rFont val="Helvetica Neue"/>
        <family val="2"/>
      </rPr>
      <t>.</t>
    </r>
  </si>
  <si>
    <r>
      <t>Use </t>
    </r>
    <r>
      <rPr>
        <b/>
        <sz val="16"/>
        <color rgb="FF2D3B45"/>
        <rFont val="Helvetica Neue"/>
        <family val="2"/>
      </rPr>
      <t>conditional formatting</t>
    </r>
    <r>
      <rPr>
        <sz val="16"/>
        <color rgb="FF2D3B45"/>
        <rFont val="Helvetica Neue"/>
        <family val="2"/>
      </rPr>
      <t> to highlight the top 10% of performers.</t>
    </r>
  </si>
  <si>
    <r>
      <t>Create a </t>
    </r>
    <r>
      <rPr>
        <b/>
        <sz val="16"/>
        <color rgb="FF2D3B45"/>
        <rFont val="Helvetica Neue"/>
        <family val="2"/>
      </rPr>
      <t>scenario summary</t>
    </r>
    <r>
      <rPr>
        <sz val="16"/>
        <color rgb="FF2D3B45"/>
        <rFont val="Helvetica Neue"/>
        <family val="2"/>
      </rPr>
      <t> to compare total sales under three scenarios:</t>
    </r>
  </si>
  <si>
    <t>Employees work 5 additional hours.</t>
  </si>
  <si>
    <t>Sales increase by 10%.</t>
  </si>
  <si>
    <t>Both changes happen simultaneously.</t>
  </si>
  <si>
    <r>
      <t>Display the results in a </t>
    </r>
    <r>
      <rPr>
        <b/>
        <sz val="16"/>
        <color rgb="FF2D3B45"/>
        <rFont val="Helvetica Neue"/>
        <family val="2"/>
      </rPr>
      <t>summary table</t>
    </r>
    <r>
      <rPr>
        <sz val="16"/>
        <color rgb="FF2D3B45"/>
        <rFont val="Helvetica Neue"/>
        <family val="2"/>
      </rPr>
      <t> with a line chart visualizing scenarios.</t>
    </r>
  </si>
  <si>
    <t>Sales Per Hour</t>
  </si>
  <si>
    <t xml:space="preserve">Additional 5 Hours </t>
  </si>
  <si>
    <t>Salesincby 10%</t>
  </si>
  <si>
    <t>BothChanges</t>
  </si>
  <si>
    <t>Sales/Hour</t>
  </si>
  <si>
    <t>Ave Sales/Hour</t>
  </si>
  <si>
    <t>Total Sales</t>
  </si>
  <si>
    <t>Additional 5 Hours</t>
  </si>
  <si>
    <t>SalesIncBy10%</t>
  </si>
  <si>
    <t>Project 3: Retail Inventory Optimization</t>
  </si>
  <si>
    <r>
      <t>Objective</t>
    </r>
    <r>
      <rPr>
        <sz val="16"/>
        <color rgb="FF2D3B45"/>
        <rFont val="Helvetica Neue"/>
        <family val="2"/>
      </rPr>
      <t>: Determine the optimal stock level for minimizing holding costs.</t>
    </r>
  </si>
  <si>
    <r>
      <t>Dataset</t>
    </r>
    <r>
      <rPr>
        <sz val="16"/>
        <color rgb="FF2D3B45"/>
        <rFont val="Helvetica Neue"/>
        <family val="2"/>
      </rPr>
      <t>: Dataset 3 (Retail Stock Data).</t>
    </r>
  </si>
  <si>
    <t>Create a formula to calculate the holding cost for each product as Stock Level × Cost Per Unit × 0.1.</t>
  </si>
  <si>
    <r>
      <t>Use </t>
    </r>
    <r>
      <rPr>
        <b/>
        <sz val="16"/>
        <color rgb="FF2D3B45"/>
        <rFont val="Helvetica Neue"/>
        <family val="2"/>
      </rPr>
      <t>Excel Solver</t>
    </r>
    <r>
      <rPr>
        <sz val="16"/>
        <color rgb="FF2D3B45"/>
        <rFont val="Helvetica Neue"/>
        <family val="2"/>
      </rPr>
      <t> to minimize total holding cost by adjusting reorder points under these constraints:</t>
    </r>
  </si>
  <si>
    <t>Stock Level ≥ Reorder Point.</t>
  </si>
  <si>
    <t>Stock Level ≤ 200.</t>
  </si>
  <si>
    <r>
      <t>Visualize stock levels and reorder points using a </t>
    </r>
    <r>
      <rPr>
        <b/>
        <sz val="16"/>
        <color rgb="FF2D3B45"/>
        <rFont val="Helvetica Neue"/>
        <family val="2"/>
      </rPr>
      <t>scatterplot</t>
    </r>
    <r>
      <rPr>
        <sz val="16"/>
        <color rgb="FF2D3B45"/>
        <rFont val="Helvetica Neue"/>
        <family val="2"/>
      </rPr>
      <t>.</t>
    </r>
  </si>
  <si>
    <t>Holding cost</t>
  </si>
  <si>
    <t>Project 4: Financial Transactions Analysis</t>
  </si>
  <si>
    <r>
      <t>Objective</t>
    </r>
    <r>
      <rPr>
        <sz val="16"/>
        <color rgb="FF2D3B45"/>
        <rFont val="Helvetica Neue"/>
        <family val="2"/>
      </rPr>
      <t>: Categorize and summarize transactions by type and date.</t>
    </r>
  </si>
  <si>
    <r>
      <t>Dataset</t>
    </r>
    <r>
      <rPr>
        <sz val="16"/>
        <color rgb="FF2D3B45"/>
        <rFont val="Helvetica Neue"/>
        <family val="2"/>
      </rPr>
      <t>: Dataset 4 (Financial Transactions).</t>
    </r>
  </si>
  <si>
    <r>
      <t>Use </t>
    </r>
    <r>
      <rPr>
        <b/>
        <sz val="16"/>
        <color rgb="FF2D3B45"/>
        <rFont val="Helvetica Neue"/>
        <family val="2"/>
      </rPr>
      <t>COUNTIF</t>
    </r>
    <r>
      <rPr>
        <sz val="16"/>
        <color rgb="FF2D3B45"/>
        <rFont val="Helvetica Neue"/>
        <family val="2"/>
      </rPr>
      <t> to calculate the number of credit and debit transactions.</t>
    </r>
  </si>
  <si>
    <r>
      <t>Create a </t>
    </r>
    <r>
      <rPr>
        <b/>
        <sz val="16"/>
        <color rgb="FF2D3B45"/>
        <rFont val="Helvetica Neue"/>
        <family val="2"/>
      </rPr>
      <t>histogram</t>
    </r>
    <r>
      <rPr>
        <sz val="16"/>
        <color rgb="FF2D3B45"/>
        <rFont val="Helvetica Neue"/>
        <family val="2"/>
      </rPr>
      <t> to display the distribution of transaction amounts.</t>
    </r>
  </si>
  <si>
    <r>
      <t>Use </t>
    </r>
    <r>
      <rPr>
        <b/>
        <sz val="16"/>
        <color rgb="FF2D3B45"/>
        <rFont val="Helvetica Neue"/>
        <family val="2"/>
      </rPr>
      <t>IF</t>
    </r>
    <r>
      <rPr>
        <sz val="16"/>
        <color rgb="FF2D3B45"/>
        <rFont val="Helvetica Neue"/>
        <family val="2"/>
      </rPr>
      <t> formulas to classify transactions as "Large" (Amount &gt; $5000) or "Small."</t>
    </r>
  </si>
  <si>
    <r>
      <t>Summarize monthly transaction totals using a </t>
    </r>
    <r>
      <rPr>
        <b/>
        <sz val="16"/>
        <color rgb="FF2D3B45"/>
        <rFont val="Helvetica Neue"/>
        <family val="2"/>
      </rPr>
      <t>pivot table</t>
    </r>
    <r>
      <rPr>
        <sz val="16"/>
        <color rgb="FF2D3B45"/>
        <rFont val="Helvetica Neue"/>
        <family val="2"/>
      </rPr>
      <t> and visualize them with a </t>
    </r>
    <r>
      <rPr>
        <b/>
        <sz val="16"/>
        <color rgb="FF2D3B45"/>
        <rFont val="Helvetica Neue"/>
        <family val="2"/>
      </rPr>
      <t>line chart</t>
    </r>
    <r>
      <rPr>
        <sz val="16"/>
        <color rgb="FF2D3B45"/>
        <rFont val="Helvetica Neue"/>
        <family val="2"/>
      </rPr>
      <t>.</t>
    </r>
  </si>
  <si>
    <t>Total Holding Cost</t>
  </si>
  <si>
    <t>Project 5: Weather Data Insights</t>
  </si>
  <si>
    <r>
      <t>Objective</t>
    </r>
    <r>
      <rPr>
        <sz val="16"/>
        <color rgb="FF2D3B45"/>
        <rFont val="Helvetica Neue"/>
        <family val="2"/>
      </rPr>
      <t>: Summarize weather trends and identify outliers.</t>
    </r>
  </si>
  <si>
    <r>
      <t>Dataset</t>
    </r>
    <r>
      <rPr>
        <sz val="16"/>
        <color rgb="FF2D3B45"/>
        <rFont val="Helvetica Neue"/>
        <family val="2"/>
      </rPr>
      <t>: Dataset 5 (Monthly Weather Data).</t>
    </r>
  </si>
  <si>
    <r>
      <t>Calculate monthly averages for temperature and precipitation using </t>
    </r>
    <r>
      <rPr>
        <b/>
        <sz val="16"/>
        <color rgb="FF2D3B45"/>
        <rFont val="Helvetica Neue"/>
        <family val="2"/>
      </rPr>
      <t>AVERAGEIF</t>
    </r>
    <r>
      <rPr>
        <sz val="16"/>
        <color rgb="FF2D3B45"/>
        <rFont val="Helvetica Neue"/>
        <family val="2"/>
      </rPr>
      <t>.</t>
    </r>
  </si>
  <si>
    <r>
      <t>Use </t>
    </r>
    <r>
      <rPr>
        <b/>
        <sz val="16"/>
        <color rgb="FF2D3B45"/>
        <rFont val="Helvetica Neue"/>
        <family val="2"/>
      </rPr>
      <t>conditional formatting</t>
    </r>
    <r>
      <rPr>
        <sz val="16"/>
        <color rgb="FF2D3B45"/>
        <rFont val="Helvetica Neue"/>
        <family val="2"/>
      </rPr>
      <t> to highlight temperatures above 90°F or precipitation below 1 inch.</t>
    </r>
  </si>
  <si>
    <r>
      <t>Create a </t>
    </r>
    <r>
      <rPr>
        <b/>
        <sz val="16"/>
        <color rgb="FF2D3B45"/>
        <rFont val="Helvetica Neue"/>
        <family val="2"/>
      </rPr>
      <t>box plot</t>
    </r>
    <r>
      <rPr>
        <sz val="16"/>
        <color rgb="FF2D3B45"/>
        <rFont val="Helvetica Neue"/>
        <family val="2"/>
      </rPr>
      <t> for average temperatures to identify outliers.</t>
    </r>
  </si>
  <si>
    <t>Year and Month</t>
  </si>
  <si>
    <t>UniqueYear&amp;Month</t>
  </si>
  <si>
    <t xml:space="preserve">	MonthlyAvgTemp	</t>
  </si>
  <si>
    <t xml:space="preserve">	MonthlyAvg Pre	</t>
  </si>
  <si>
    <t>Average  Temperature</t>
  </si>
  <si>
    <t xml:space="preserve">Large </t>
  </si>
  <si>
    <t>Small</t>
  </si>
  <si>
    <t>If-Formula</t>
  </si>
  <si>
    <t>Sum of Amount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</si>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</sst>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2D3B45"/>
      <name val="Helvetica Neue"/>
      <family val="2"/>
    </font>
    <font>
      <b/>
      <sz val="16"/>
      <color rgb="FF2D3B45"/>
      <name val="Helvetica Neue"/>
      <family val="2"/>
    </font>
    <font>
      <b/>
      <sz val="11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5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0" fontId="0" fillId="3" borderId="0" xfId="0" applyFill="1"/>
    <xf numFmtId="165" fontId="0" fillId="3" borderId="0" xfId="0" applyNumberFormat="1" applyFill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0" fillId="0" borderId="0" xfId="0" applyNumberFormat="1"/>
    <xf numFmtId="0" fontId="1" fillId="5" borderId="0" xfId="0" applyFont="1" applyFill="1"/>
    <xf numFmtId="0" fontId="4" fillId="5" borderId="0" xfId="0" applyFont="1" applyFill="1" applyAlignment="1">
      <alignment horizontal="center"/>
    </xf>
    <xf numFmtId="0" fontId="0" fillId="5" borderId="0" xfId="0" applyFill="1"/>
    <xf numFmtId="2" fontId="0" fillId="5" borderId="0" xfId="0" applyNumberForma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[Yasoda_Midterm_Datasets.xlsx]Analysis_1!PivotTable4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Analysis_1!$B$3:$B$4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Analysis_1!$A$5:$A$27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Jan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&lt;1/1/23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Furniture</c:v>
                  </c:pt>
                  <c:pt idx="12">
                    <c:v>Toys</c:v>
                  </c:pt>
                  <c:pt idx="16">
                    <c:v>(blank)</c:v>
                  </c:pt>
                </c:lvl>
              </c:multiLvlStrCache>
            </c:multiLvlStrRef>
          </c:cat>
          <c:val>
            <c:numRef>
              <c:f>Analysis_1!$B$5:$B$27</c:f>
              <c:numCache>
                <c:formatCode>General</c:formatCode>
                <c:ptCount val="17"/>
                <c:pt idx="1">
                  <c:v>5177</c:v>
                </c:pt>
                <c:pt idx="3">
                  <c:v>3755</c:v>
                </c:pt>
                <c:pt idx="4">
                  <c:v>2562</c:v>
                </c:pt>
                <c:pt idx="5">
                  <c:v>1063</c:v>
                </c:pt>
                <c:pt idx="6">
                  <c:v>13690</c:v>
                </c:pt>
                <c:pt idx="8">
                  <c:v>13479</c:v>
                </c:pt>
                <c:pt idx="9">
                  <c:v>10559</c:v>
                </c:pt>
                <c:pt idx="10">
                  <c:v>1806</c:v>
                </c:pt>
                <c:pt idx="11">
                  <c:v>4010</c:v>
                </c:pt>
                <c:pt idx="12">
                  <c:v>1995</c:v>
                </c:pt>
                <c:pt idx="14">
                  <c:v>12090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5-4F4B-94A4-3027860E2B08}"/>
            </c:ext>
          </c:extLst>
        </c:ser>
        <c:ser>
          <c:idx val="1"/>
          <c:order val="1"/>
          <c:tx>
            <c:strRef>
              <c:f>Analysis_1!$C$3:$C$4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Analysis_1!$A$5:$A$27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Jan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&lt;1/1/23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Furniture</c:v>
                  </c:pt>
                  <c:pt idx="12">
                    <c:v>Toys</c:v>
                  </c:pt>
                  <c:pt idx="16">
                    <c:v>(blank)</c:v>
                  </c:pt>
                </c:lvl>
              </c:multiLvlStrCache>
            </c:multiLvlStrRef>
          </c:cat>
          <c:val>
            <c:numRef>
              <c:f>Analysis_1!$C$5:$C$27</c:f>
              <c:numCache>
                <c:formatCode>General</c:formatCode>
                <c:ptCount val="17"/>
                <c:pt idx="0">
                  <c:v>5449</c:v>
                </c:pt>
                <c:pt idx="1">
                  <c:v>6475</c:v>
                </c:pt>
                <c:pt idx="2">
                  <c:v>1782</c:v>
                </c:pt>
                <c:pt idx="4">
                  <c:v>5715</c:v>
                </c:pt>
                <c:pt idx="5">
                  <c:v>3814</c:v>
                </c:pt>
                <c:pt idx="6">
                  <c:v>8689</c:v>
                </c:pt>
                <c:pt idx="7">
                  <c:v>2207</c:v>
                </c:pt>
                <c:pt idx="9">
                  <c:v>2070</c:v>
                </c:pt>
                <c:pt idx="11">
                  <c:v>702</c:v>
                </c:pt>
                <c:pt idx="12">
                  <c:v>13887</c:v>
                </c:pt>
                <c:pt idx="13">
                  <c:v>5835</c:v>
                </c:pt>
                <c:pt idx="14">
                  <c:v>2372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5-4F4B-94A4-3027860E2B08}"/>
            </c:ext>
          </c:extLst>
        </c:ser>
        <c:ser>
          <c:idx val="2"/>
          <c:order val="2"/>
          <c:tx>
            <c:strRef>
              <c:f>Analysis_1!$D$3:$D$4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Analysis_1!$A$5:$A$27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Jan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&lt;1/1/23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Furniture</c:v>
                  </c:pt>
                  <c:pt idx="12">
                    <c:v>Toys</c:v>
                  </c:pt>
                  <c:pt idx="16">
                    <c:v>(blank)</c:v>
                  </c:pt>
                </c:lvl>
              </c:multiLvlStrCache>
            </c:multiLvlStrRef>
          </c:cat>
          <c:val>
            <c:numRef>
              <c:f>Analysis_1!$D$5:$D$27</c:f>
              <c:numCache>
                <c:formatCode>General</c:formatCode>
                <c:ptCount val="17"/>
                <c:pt idx="0">
                  <c:v>9035</c:v>
                </c:pt>
                <c:pt idx="1">
                  <c:v>3273</c:v>
                </c:pt>
                <c:pt idx="2">
                  <c:v>15676</c:v>
                </c:pt>
                <c:pt idx="3">
                  <c:v>4597</c:v>
                </c:pt>
                <c:pt idx="4">
                  <c:v>1443</c:v>
                </c:pt>
                <c:pt idx="5">
                  <c:v>8118</c:v>
                </c:pt>
                <c:pt idx="6">
                  <c:v>13670</c:v>
                </c:pt>
                <c:pt idx="8">
                  <c:v>5617</c:v>
                </c:pt>
                <c:pt idx="9">
                  <c:v>10713</c:v>
                </c:pt>
                <c:pt idx="10">
                  <c:v>7418</c:v>
                </c:pt>
                <c:pt idx="11">
                  <c:v>3277</c:v>
                </c:pt>
                <c:pt idx="12">
                  <c:v>7786</c:v>
                </c:pt>
                <c:pt idx="13">
                  <c:v>7495</c:v>
                </c:pt>
                <c:pt idx="14">
                  <c:v>6665</c:v>
                </c:pt>
                <c:pt idx="15">
                  <c:v>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15-4F4B-94A4-3027860E2B08}"/>
            </c:ext>
          </c:extLst>
        </c:ser>
        <c:ser>
          <c:idx val="3"/>
          <c:order val="3"/>
          <c:tx>
            <c:strRef>
              <c:f>Analysis_1!$E$3:$E$4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Analysis_1!$A$5:$A$27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Jan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&lt;1/1/23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Furniture</c:v>
                  </c:pt>
                  <c:pt idx="12">
                    <c:v>Toys</c:v>
                  </c:pt>
                  <c:pt idx="16">
                    <c:v>(blank)</c:v>
                  </c:pt>
                </c:lvl>
              </c:multiLvlStrCache>
            </c:multiLvlStrRef>
          </c:cat>
          <c:val>
            <c:numRef>
              <c:f>Analysis_1!$E$5:$E$27</c:f>
              <c:numCache>
                <c:formatCode>General</c:formatCode>
                <c:ptCount val="17"/>
                <c:pt idx="0">
                  <c:v>1516</c:v>
                </c:pt>
                <c:pt idx="1">
                  <c:v>2097</c:v>
                </c:pt>
                <c:pt idx="3">
                  <c:v>2233</c:v>
                </c:pt>
                <c:pt idx="4">
                  <c:v>1378</c:v>
                </c:pt>
                <c:pt idx="5">
                  <c:v>4479</c:v>
                </c:pt>
                <c:pt idx="6">
                  <c:v>2163</c:v>
                </c:pt>
                <c:pt idx="8">
                  <c:v>1495</c:v>
                </c:pt>
                <c:pt idx="9">
                  <c:v>4988</c:v>
                </c:pt>
                <c:pt idx="10">
                  <c:v>3802</c:v>
                </c:pt>
                <c:pt idx="11">
                  <c:v>3974</c:v>
                </c:pt>
                <c:pt idx="12">
                  <c:v>6968</c:v>
                </c:pt>
                <c:pt idx="13">
                  <c:v>1559</c:v>
                </c:pt>
                <c:pt idx="14">
                  <c:v>2353</c:v>
                </c:pt>
                <c:pt idx="15">
                  <c:v>2660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15-4F4B-94A4-3027860E2B08}"/>
            </c:ext>
          </c:extLst>
        </c:ser>
        <c:ser>
          <c:idx val="4"/>
          <c:order val="4"/>
          <c:tx>
            <c:strRef>
              <c:f>Analysis_1!$F$3:$F$4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Analysis_1!$A$5:$A$27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Jan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&lt;1/1/23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Furniture</c:v>
                  </c:pt>
                  <c:pt idx="12">
                    <c:v>Toys</c:v>
                  </c:pt>
                  <c:pt idx="16">
                    <c:v>(blank)</c:v>
                  </c:pt>
                </c:lvl>
              </c:multiLvlStrCache>
            </c:multiLvlStrRef>
          </c:cat>
          <c:val>
            <c:numRef>
              <c:f>Analysis_1!$F$5:$F$27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4-4715-4F4B-94A4-3027860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7727552"/>
        <c:axId val="1447874512"/>
      </c:barChart>
      <c:catAx>
        <c:axId val="14477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447874512"/>
        <c:crosses val="autoZero"/>
        <c:auto val="1"/>
        <c:lblAlgn val="ctr"/>
        <c:lblOffset val="100"/>
        <c:noMultiLvlLbl val="0"/>
      </c:catAx>
      <c:valAx>
        <c:axId val="14478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4477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Summary</a:t>
            </a:r>
            <a:r>
              <a:rPr lang="en-GB" baseline="0"/>
              <a:t> Table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Analysis_2!$F$1:$I$1</c:f>
              <c:strCache>
                <c:ptCount val="4"/>
                <c:pt idx="0">
                  <c:v>Sales/Hour</c:v>
                </c:pt>
                <c:pt idx="1">
                  <c:v>Additional 5 Hours</c:v>
                </c:pt>
                <c:pt idx="2">
                  <c:v>SalesIncBy10%</c:v>
                </c:pt>
                <c:pt idx="3">
                  <c:v>BothChanges</c:v>
                </c:pt>
              </c:strCache>
            </c:strRef>
          </c:cat>
          <c:val>
            <c:numRef>
              <c:f>Analysis_2!$F$2:$I$2</c:f>
              <c:numCache>
                <c:formatCode>0.00</c:formatCode>
                <c:ptCount val="4"/>
                <c:pt idx="0">
                  <c:v>783.38712780414164</c:v>
                </c:pt>
                <c:pt idx="1">
                  <c:v>692.41109483850187</c:v>
                </c:pt>
                <c:pt idx="2">
                  <c:v>861.72584058455584</c:v>
                </c:pt>
                <c:pt idx="3">
                  <c:v>761.65220432235185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7-A147-9B5B-5A74BB5A6607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Analysis_2!$F$1:$I$1</c:f>
              <c:strCache>
                <c:ptCount val="4"/>
                <c:pt idx="0">
                  <c:v>Sales/Hour</c:v>
                </c:pt>
                <c:pt idx="1">
                  <c:v>Additional 5 Hours</c:v>
                </c:pt>
                <c:pt idx="2">
                  <c:v>SalesIncBy10%</c:v>
                </c:pt>
                <c:pt idx="3">
                  <c:v>BothChanges</c:v>
                </c:pt>
              </c:strCache>
            </c:strRef>
          </c:cat>
          <c:val>
            <c:numRef>
              <c:f>Analysis_2!$F$3:$I$3</c:f>
              <c:numCache>
                <c:formatCode>0.00</c:formatCode>
                <c:ptCount val="4"/>
                <c:pt idx="0">
                  <c:v>78338.712780414164</c:v>
                </c:pt>
                <c:pt idx="1">
                  <c:v>69241.109483850189</c:v>
                </c:pt>
                <c:pt idx="2">
                  <c:v>86172.584058455584</c:v>
                </c:pt>
                <c:pt idx="3">
                  <c:v>76165.22043223519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7-A147-9B5B-5A74BB5A66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41171760"/>
        <c:axId val="2021468208"/>
      </c:lineChart>
      <c:catAx>
        <c:axId val="174117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2021468208"/>
        <c:crosses val="autoZero"/>
        <c:auto val="1"/>
        <c:lblAlgn val="ctr"/>
        <c:lblOffset val="100"/>
        <c:noMultiLvlLbl val="0"/>
      </c:catAx>
      <c:valAx>
        <c:axId val="20214682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4117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Stock</a:t>
            </a:r>
            <a:r>
              <a:rPr lang="en-GB" baseline="0"/>
              <a:t> Levels and Reorder Points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Dataset3_RetailStock!$B$2:$B$101</c:f>
              <c:numCache>
                <c:formatCode>General</c:formatCode>
                <c:ptCount val="100"/>
                <c:pt idx="0">
                  <c:v>30</c:v>
                </c:pt>
                <c:pt idx="1">
                  <c:v>32</c:v>
                </c:pt>
                <c:pt idx="2">
                  <c:v>27</c:v>
                </c:pt>
                <c:pt idx="3">
                  <c:v>18</c:v>
                </c:pt>
                <c:pt idx="4">
                  <c:v>28</c:v>
                </c:pt>
                <c:pt idx="5">
                  <c:v>6</c:v>
                </c:pt>
                <c:pt idx="6">
                  <c:v>49</c:v>
                </c:pt>
                <c:pt idx="7">
                  <c:v>30</c:v>
                </c:pt>
                <c:pt idx="8">
                  <c:v>18</c:v>
                </c:pt>
                <c:pt idx="9">
                  <c:v>11</c:v>
                </c:pt>
                <c:pt idx="10">
                  <c:v>7</c:v>
                </c:pt>
                <c:pt idx="11">
                  <c:v>27</c:v>
                </c:pt>
                <c:pt idx="12">
                  <c:v>47</c:v>
                </c:pt>
                <c:pt idx="13">
                  <c:v>49</c:v>
                </c:pt>
                <c:pt idx="14">
                  <c:v>22</c:v>
                </c:pt>
                <c:pt idx="15">
                  <c:v>42</c:v>
                </c:pt>
                <c:pt idx="16">
                  <c:v>39</c:v>
                </c:pt>
                <c:pt idx="17">
                  <c:v>19</c:v>
                </c:pt>
                <c:pt idx="18">
                  <c:v>29</c:v>
                </c:pt>
                <c:pt idx="19">
                  <c:v>41</c:v>
                </c:pt>
                <c:pt idx="20">
                  <c:v>32</c:v>
                </c:pt>
                <c:pt idx="21">
                  <c:v>14</c:v>
                </c:pt>
                <c:pt idx="22">
                  <c:v>43</c:v>
                </c:pt>
                <c:pt idx="23">
                  <c:v>21</c:v>
                </c:pt>
                <c:pt idx="24">
                  <c:v>43</c:v>
                </c:pt>
                <c:pt idx="25">
                  <c:v>26</c:v>
                </c:pt>
                <c:pt idx="26">
                  <c:v>30</c:v>
                </c:pt>
                <c:pt idx="27">
                  <c:v>48</c:v>
                </c:pt>
                <c:pt idx="28">
                  <c:v>29</c:v>
                </c:pt>
                <c:pt idx="29">
                  <c:v>21</c:v>
                </c:pt>
                <c:pt idx="30">
                  <c:v>17</c:v>
                </c:pt>
                <c:pt idx="31">
                  <c:v>24</c:v>
                </c:pt>
                <c:pt idx="32">
                  <c:v>29</c:v>
                </c:pt>
                <c:pt idx="33">
                  <c:v>8</c:v>
                </c:pt>
                <c:pt idx="34">
                  <c:v>14</c:v>
                </c:pt>
                <c:pt idx="35">
                  <c:v>7</c:v>
                </c:pt>
                <c:pt idx="36">
                  <c:v>45</c:v>
                </c:pt>
                <c:pt idx="37">
                  <c:v>49</c:v>
                </c:pt>
                <c:pt idx="38">
                  <c:v>22</c:v>
                </c:pt>
                <c:pt idx="39">
                  <c:v>40</c:v>
                </c:pt>
                <c:pt idx="40">
                  <c:v>26</c:v>
                </c:pt>
                <c:pt idx="41">
                  <c:v>38</c:v>
                </c:pt>
                <c:pt idx="42">
                  <c:v>12</c:v>
                </c:pt>
                <c:pt idx="43">
                  <c:v>44</c:v>
                </c:pt>
                <c:pt idx="44">
                  <c:v>48</c:v>
                </c:pt>
                <c:pt idx="45">
                  <c:v>23</c:v>
                </c:pt>
                <c:pt idx="46">
                  <c:v>46</c:v>
                </c:pt>
                <c:pt idx="47">
                  <c:v>45</c:v>
                </c:pt>
                <c:pt idx="48">
                  <c:v>41</c:v>
                </c:pt>
                <c:pt idx="49">
                  <c:v>9.9999999999999982</c:v>
                </c:pt>
                <c:pt idx="50">
                  <c:v>30</c:v>
                </c:pt>
                <c:pt idx="51">
                  <c:v>38</c:v>
                </c:pt>
                <c:pt idx="52">
                  <c:v>49</c:v>
                </c:pt>
                <c:pt idx="53">
                  <c:v>10</c:v>
                </c:pt>
                <c:pt idx="54">
                  <c:v>41</c:v>
                </c:pt>
                <c:pt idx="55">
                  <c:v>37</c:v>
                </c:pt>
                <c:pt idx="56">
                  <c:v>26</c:v>
                </c:pt>
                <c:pt idx="57">
                  <c:v>25</c:v>
                </c:pt>
                <c:pt idx="58">
                  <c:v>10</c:v>
                </c:pt>
                <c:pt idx="59">
                  <c:v>10</c:v>
                </c:pt>
                <c:pt idx="60">
                  <c:v>8</c:v>
                </c:pt>
                <c:pt idx="61">
                  <c:v>34</c:v>
                </c:pt>
                <c:pt idx="62">
                  <c:v>15</c:v>
                </c:pt>
                <c:pt idx="63">
                  <c:v>34</c:v>
                </c:pt>
                <c:pt idx="64">
                  <c:v>35</c:v>
                </c:pt>
                <c:pt idx="65">
                  <c:v>28</c:v>
                </c:pt>
                <c:pt idx="66">
                  <c:v>13.000000000000002</c:v>
                </c:pt>
                <c:pt idx="67">
                  <c:v>7</c:v>
                </c:pt>
                <c:pt idx="68">
                  <c:v>35</c:v>
                </c:pt>
                <c:pt idx="69">
                  <c:v>44</c:v>
                </c:pt>
                <c:pt idx="70">
                  <c:v>41</c:v>
                </c:pt>
                <c:pt idx="71">
                  <c:v>40</c:v>
                </c:pt>
                <c:pt idx="72">
                  <c:v>28</c:v>
                </c:pt>
                <c:pt idx="73">
                  <c:v>35</c:v>
                </c:pt>
                <c:pt idx="74">
                  <c:v>10</c:v>
                </c:pt>
                <c:pt idx="75">
                  <c:v>6</c:v>
                </c:pt>
                <c:pt idx="76">
                  <c:v>24</c:v>
                </c:pt>
                <c:pt idx="77">
                  <c:v>32</c:v>
                </c:pt>
                <c:pt idx="78">
                  <c:v>15</c:v>
                </c:pt>
                <c:pt idx="79">
                  <c:v>8</c:v>
                </c:pt>
                <c:pt idx="80">
                  <c:v>19</c:v>
                </c:pt>
                <c:pt idx="81">
                  <c:v>10</c:v>
                </c:pt>
                <c:pt idx="82">
                  <c:v>34</c:v>
                </c:pt>
                <c:pt idx="83">
                  <c:v>42</c:v>
                </c:pt>
                <c:pt idx="84">
                  <c:v>6</c:v>
                </c:pt>
                <c:pt idx="85">
                  <c:v>19</c:v>
                </c:pt>
                <c:pt idx="86">
                  <c:v>15</c:v>
                </c:pt>
                <c:pt idx="87">
                  <c:v>12</c:v>
                </c:pt>
                <c:pt idx="88">
                  <c:v>30</c:v>
                </c:pt>
                <c:pt idx="89">
                  <c:v>49</c:v>
                </c:pt>
                <c:pt idx="90">
                  <c:v>48</c:v>
                </c:pt>
                <c:pt idx="91">
                  <c:v>9</c:v>
                </c:pt>
                <c:pt idx="92">
                  <c:v>10</c:v>
                </c:pt>
                <c:pt idx="93">
                  <c:v>30</c:v>
                </c:pt>
                <c:pt idx="94">
                  <c:v>8</c:v>
                </c:pt>
                <c:pt idx="95">
                  <c:v>23</c:v>
                </c:pt>
                <c:pt idx="96">
                  <c:v>24</c:v>
                </c:pt>
                <c:pt idx="97">
                  <c:v>37</c:v>
                </c:pt>
                <c:pt idx="98">
                  <c:v>24</c:v>
                </c:pt>
                <c:pt idx="99">
                  <c:v>16</c:v>
                </c:pt>
              </c:numCache>
            </c:numRef>
          </c:xVal>
          <c:yVal>
            <c:numRef>
              <c:f>Dataset3_RetailStock!$C$2:$C$101</c:f>
              <c:numCache>
                <c:formatCode>General</c:formatCode>
                <c:ptCount val="100"/>
                <c:pt idx="0">
                  <c:v>30</c:v>
                </c:pt>
                <c:pt idx="1">
                  <c:v>32</c:v>
                </c:pt>
                <c:pt idx="2">
                  <c:v>27</c:v>
                </c:pt>
                <c:pt idx="3">
                  <c:v>18</c:v>
                </c:pt>
                <c:pt idx="4">
                  <c:v>28</c:v>
                </c:pt>
                <c:pt idx="5">
                  <c:v>6</c:v>
                </c:pt>
                <c:pt idx="6">
                  <c:v>49</c:v>
                </c:pt>
                <c:pt idx="7">
                  <c:v>30</c:v>
                </c:pt>
                <c:pt idx="8">
                  <c:v>18</c:v>
                </c:pt>
                <c:pt idx="9">
                  <c:v>11</c:v>
                </c:pt>
                <c:pt idx="10">
                  <c:v>7</c:v>
                </c:pt>
                <c:pt idx="11">
                  <c:v>27</c:v>
                </c:pt>
                <c:pt idx="12">
                  <c:v>47</c:v>
                </c:pt>
                <c:pt idx="13">
                  <c:v>49</c:v>
                </c:pt>
                <c:pt idx="14">
                  <c:v>22</c:v>
                </c:pt>
                <c:pt idx="15">
                  <c:v>42</c:v>
                </c:pt>
                <c:pt idx="16">
                  <c:v>39</c:v>
                </c:pt>
                <c:pt idx="17">
                  <c:v>19</c:v>
                </c:pt>
                <c:pt idx="18">
                  <c:v>29</c:v>
                </c:pt>
                <c:pt idx="19">
                  <c:v>41</c:v>
                </c:pt>
                <c:pt idx="20">
                  <c:v>32</c:v>
                </c:pt>
                <c:pt idx="21">
                  <c:v>14</c:v>
                </c:pt>
                <c:pt idx="22">
                  <c:v>43</c:v>
                </c:pt>
                <c:pt idx="23">
                  <c:v>21</c:v>
                </c:pt>
                <c:pt idx="24">
                  <c:v>43</c:v>
                </c:pt>
                <c:pt idx="25">
                  <c:v>26</c:v>
                </c:pt>
                <c:pt idx="26">
                  <c:v>30</c:v>
                </c:pt>
                <c:pt idx="27">
                  <c:v>48</c:v>
                </c:pt>
                <c:pt idx="28">
                  <c:v>29</c:v>
                </c:pt>
                <c:pt idx="29">
                  <c:v>21</c:v>
                </c:pt>
                <c:pt idx="30">
                  <c:v>17</c:v>
                </c:pt>
                <c:pt idx="31">
                  <c:v>24</c:v>
                </c:pt>
                <c:pt idx="32">
                  <c:v>29</c:v>
                </c:pt>
                <c:pt idx="33">
                  <c:v>8</c:v>
                </c:pt>
                <c:pt idx="34">
                  <c:v>14</c:v>
                </c:pt>
                <c:pt idx="35">
                  <c:v>7</c:v>
                </c:pt>
                <c:pt idx="36">
                  <c:v>45</c:v>
                </c:pt>
                <c:pt idx="37">
                  <c:v>49</c:v>
                </c:pt>
                <c:pt idx="38">
                  <c:v>22</c:v>
                </c:pt>
                <c:pt idx="39">
                  <c:v>40</c:v>
                </c:pt>
                <c:pt idx="40">
                  <c:v>26</c:v>
                </c:pt>
                <c:pt idx="41">
                  <c:v>38</c:v>
                </c:pt>
                <c:pt idx="42">
                  <c:v>12</c:v>
                </c:pt>
                <c:pt idx="43">
                  <c:v>44</c:v>
                </c:pt>
                <c:pt idx="44">
                  <c:v>48</c:v>
                </c:pt>
                <c:pt idx="45">
                  <c:v>23</c:v>
                </c:pt>
                <c:pt idx="46">
                  <c:v>46</c:v>
                </c:pt>
                <c:pt idx="47">
                  <c:v>45</c:v>
                </c:pt>
                <c:pt idx="48">
                  <c:v>41</c:v>
                </c:pt>
                <c:pt idx="49">
                  <c:v>10</c:v>
                </c:pt>
                <c:pt idx="50">
                  <c:v>30</c:v>
                </c:pt>
                <c:pt idx="51">
                  <c:v>38</c:v>
                </c:pt>
                <c:pt idx="52">
                  <c:v>49</c:v>
                </c:pt>
                <c:pt idx="53">
                  <c:v>10</c:v>
                </c:pt>
                <c:pt idx="54">
                  <c:v>41</c:v>
                </c:pt>
                <c:pt idx="55">
                  <c:v>37</c:v>
                </c:pt>
                <c:pt idx="56">
                  <c:v>26</c:v>
                </c:pt>
                <c:pt idx="57">
                  <c:v>25</c:v>
                </c:pt>
                <c:pt idx="58">
                  <c:v>10</c:v>
                </c:pt>
                <c:pt idx="59">
                  <c:v>10</c:v>
                </c:pt>
                <c:pt idx="60">
                  <c:v>8</c:v>
                </c:pt>
                <c:pt idx="61">
                  <c:v>34</c:v>
                </c:pt>
                <c:pt idx="62">
                  <c:v>15</c:v>
                </c:pt>
                <c:pt idx="63">
                  <c:v>34</c:v>
                </c:pt>
                <c:pt idx="64">
                  <c:v>35</c:v>
                </c:pt>
                <c:pt idx="65">
                  <c:v>28</c:v>
                </c:pt>
                <c:pt idx="66">
                  <c:v>13</c:v>
                </c:pt>
                <c:pt idx="67">
                  <c:v>7</c:v>
                </c:pt>
                <c:pt idx="68">
                  <c:v>35</c:v>
                </c:pt>
                <c:pt idx="69">
                  <c:v>44</c:v>
                </c:pt>
                <c:pt idx="70">
                  <c:v>41</c:v>
                </c:pt>
                <c:pt idx="71">
                  <c:v>40</c:v>
                </c:pt>
                <c:pt idx="72">
                  <c:v>28</c:v>
                </c:pt>
                <c:pt idx="73">
                  <c:v>35</c:v>
                </c:pt>
                <c:pt idx="74">
                  <c:v>10</c:v>
                </c:pt>
                <c:pt idx="75">
                  <c:v>6</c:v>
                </c:pt>
                <c:pt idx="76">
                  <c:v>24</c:v>
                </c:pt>
                <c:pt idx="77">
                  <c:v>32</c:v>
                </c:pt>
                <c:pt idx="78">
                  <c:v>15</c:v>
                </c:pt>
                <c:pt idx="79">
                  <c:v>8</c:v>
                </c:pt>
                <c:pt idx="80">
                  <c:v>19</c:v>
                </c:pt>
                <c:pt idx="81">
                  <c:v>10</c:v>
                </c:pt>
                <c:pt idx="82">
                  <c:v>34</c:v>
                </c:pt>
                <c:pt idx="83">
                  <c:v>42</c:v>
                </c:pt>
                <c:pt idx="84">
                  <c:v>6</c:v>
                </c:pt>
                <c:pt idx="85">
                  <c:v>19</c:v>
                </c:pt>
                <c:pt idx="86">
                  <c:v>15</c:v>
                </c:pt>
                <c:pt idx="87">
                  <c:v>12</c:v>
                </c:pt>
                <c:pt idx="88">
                  <c:v>30</c:v>
                </c:pt>
                <c:pt idx="89">
                  <c:v>49</c:v>
                </c:pt>
                <c:pt idx="90">
                  <c:v>48</c:v>
                </c:pt>
                <c:pt idx="91">
                  <c:v>9</c:v>
                </c:pt>
                <c:pt idx="92">
                  <c:v>10</c:v>
                </c:pt>
                <c:pt idx="93">
                  <c:v>30</c:v>
                </c:pt>
                <c:pt idx="94">
                  <c:v>8</c:v>
                </c:pt>
                <c:pt idx="95">
                  <c:v>23</c:v>
                </c:pt>
                <c:pt idx="96">
                  <c:v>24</c:v>
                </c:pt>
                <c:pt idx="97">
                  <c:v>37</c:v>
                </c:pt>
                <c:pt idx="98">
                  <c:v>24</c:v>
                </c:pt>
                <c:pt idx="99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AD-EF4B-9619-6FEFAE4C9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726256"/>
        <c:axId val="1055695232"/>
      </c:scatterChart>
      <c:valAx>
        <c:axId val="105572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055695232"/>
        <c:crosses val="autoZero"/>
        <c:crossBetween val="midCat"/>
      </c:valAx>
      <c:valAx>
        <c:axId val="105569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05572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[Yasoda_Midterm_Datasets.xlsx]Analysis_4!PivotTable6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0032422417786"/>
          <c:y val="3.5079872204472846E-2"/>
          <c:w val="0.64950331125827809"/>
          <c:h val="0.82862155388471181"/>
        </c:manualLayout>
      </c:layout>
      <c:lineChart>
        <c:grouping val="standard"/>
        <c:varyColors val="0"/>
        <c:ser>
          <c:idx val="0"/>
          <c:order val="0"/>
          <c:tx>
            <c:strRef>
              <c:f>Analysis_4!$I$6:$I$7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Analysis_4!$H$8:$H$10</c:f>
              <c:strCache>
                <c:ptCount val="2"/>
                <c:pt idx="0">
                  <c:v>Credit</c:v>
                </c:pt>
                <c:pt idx="1">
                  <c:v>Debit</c:v>
                </c:pt>
              </c:strCache>
            </c:strRef>
          </c:cat>
          <c:val>
            <c:numRef>
              <c:f>Analysis_4!$I$8:$I$10</c:f>
              <c:numCache>
                <c:formatCode>General</c:formatCode>
                <c:ptCount val="2"/>
                <c:pt idx="0">
                  <c:v>112980.24000000002</c:v>
                </c:pt>
                <c:pt idx="1">
                  <c:v>74158.679999999993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C-D043-A3C5-C9144CCD6B68}"/>
            </c:ext>
          </c:extLst>
        </c:ser>
        <c:ser>
          <c:idx val="1"/>
          <c:order val="1"/>
          <c:tx>
            <c:strRef>
              <c:f>Analysis_4!$J$6:$J$7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Analysis_4!$H$8:$H$10</c:f>
              <c:strCache>
                <c:ptCount val="2"/>
                <c:pt idx="0">
                  <c:v>Credit</c:v>
                </c:pt>
                <c:pt idx="1">
                  <c:v>Debit</c:v>
                </c:pt>
              </c:strCache>
            </c:strRef>
          </c:cat>
          <c:val>
            <c:numRef>
              <c:f>Analysis_4!$J$8:$J$10</c:f>
              <c:numCache>
                <c:formatCode>General</c:formatCode>
                <c:ptCount val="2"/>
                <c:pt idx="0">
                  <c:v>60173.78</c:v>
                </c:pt>
                <c:pt idx="1">
                  <c:v>82939.099999999991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C-D043-A3C5-C9144CCD6B68}"/>
            </c:ext>
          </c:extLst>
        </c:ser>
        <c:ser>
          <c:idx val="2"/>
          <c:order val="2"/>
          <c:tx>
            <c:strRef>
              <c:f>Analysis_4!$K$6:$K$7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Analysis_4!$H$8:$H$10</c:f>
              <c:strCache>
                <c:ptCount val="2"/>
                <c:pt idx="0">
                  <c:v>Credit</c:v>
                </c:pt>
                <c:pt idx="1">
                  <c:v>Debit</c:v>
                </c:pt>
              </c:strCache>
            </c:strRef>
          </c:cat>
          <c:val>
            <c:numRef>
              <c:f>Analysis_4!$K$8:$K$10</c:f>
              <c:numCache>
                <c:formatCode>General</c:formatCode>
                <c:ptCount val="2"/>
                <c:pt idx="0">
                  <c:v>63803.670000000006</c:v>
                </c:pt>
                <c:pt idx="1">
                  <c:v>77550.429999999993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BC-D043-A3C5-C9144CCD6B68}"/>
            </c:ext>
          </c:extLst>
        </c:ser>
        <c:ser>
          <c:idx val="3"/>
          <c:order val="3"/>
          <c:tx>
            <c:strRef>
              <c:f>Analysis_4!$L$6:$L$7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Analysis_4!$H$8:$H$10</c:f>
              <c:strCache>
                <c:ptCount val="2"/>
                <c:pt idx="0">
                  <c:v>Credit</c:v>
                </c:pt>
                <c:pt idx="1">
                  <c:v>Debit</c:v>
                </c:pt>
              </c:strCache>
            </c:strRef>
          </c:cat>
          <c:val>
            <c:numRef>
              <c:f>Analysis_4!$L$8:$L$10</c:f>
              <c:numCache>
                <c:formatCode>General</c:formatCode>
                <c:ptCount val="2"/>
                <c:pt idx="0">
                  <c:v>15190.82</c:v>
                </c:pt>
                <c:pt idx="1">
                  <c:v>39965.500000000007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BC-D043-A3C5-C9144CCD6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309504"/>
        <c:axId val="1015311216"/>
      </c:lineChart>
      <c:catAx>
        <c:axId val="101530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015311216"/>
        <c:crosses val="autoZero"/>
        <c:auto val="1"/>
        <c:lblAlgn val="ctr"/>
        <c:lblOffset val="100"/>
        <c:noMultiLvlLbl val="0"/>
      </c:catAx>
      <c:valAx>
        <c:axId val="101531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0153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of Transaction Amounts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Transaction Amounts</a:t>
          </a:r>
        </a:p>
      </cx:txPr>
    </cx:title>
    <cx:plotArea>
      <cx:plotAreaRegion>
        <cx:series layoutId="clusteredColumn" uniqueId="{91AF703A-F7E8-0F4B-8AAF-A66B16893640}">
          <cx:tx>
            <cx:txData>
              <cx:f>_xlchart.v1.2</cx:f>
              <cx:v>Amount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boxWhisker" uniqueId="{7D53BF97-1754-AD4C-BFE1-0C08A5A680A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393700</xdr:colOff>
      <xdr:row>3</xdr:row>
      <xdr:rowOff>215900</xdr:rowOff>
    </xdr:from>
    <xdr:to>
      <xdr:col>13</xdr:col>
      <xdr:colOff>444500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AB4B7-C095-2121-B093-8DBF2F08A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679450</xdr:colOff>
      <xdr:row>12</xdr:row>
      <xdr:rowOff>6350</xdr:rowOff>
    </xdr:from>
    <xdr:to>
      <xdr:col>9</xdr:col>
      <xdr:colOff>666750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911D6-1964-CDBB-7708-EE25CDFFB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565150</xdr:colOff>
      <xdr:row>9</xdr:row>
      <xdr:rowOff>177800</xdr:rowOff>
    </xdr:from>
    <xdr:to>
      <xdr:col>10</xdr:col>
      <xdr:colOff>31750</xdr:colOff>
      <xdr:row>26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B3DDB-5943-F922-E966-3B69BB80E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7</xdr:row>
      <xdr:rowOff>203200</xdr:rowOff>
    </xdr:from>
    <xdr:to>
      <xdr:col>6</xdr:col>
      <xdr:colOff>685800</xdr:colOff>
      <xdr:row>28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D26C2C1-FC41-1748-9FAA-DFE7CCAD37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917700"/>
              <a:ext cx="5486400" cy="4089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368300</xdr:colOff>
      <xdr:row>15</xdr:row>
      <xdr:rowOff>38100</xdr:rowOff>
    </xdr:from>
    <xdr:to>
      <xdr:col>18</xdr:col>
      <xdr:colOff>114300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00C6DE-C9BA-3E3E-E4AA-452FE2BD1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520700</xdr:colOff>
      <xdr:row>12</xdr:row>
      <xdr:rowOff>177800</xdr:rowOff>
    </xdr:from>
    <xdr:to>
      <xdr:col>17</xdr:col>
      <xdr:colOff>520700</xdr:colOff>
      <xdr:row>30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AA0229-7A5C-5A5A-F333-ED0DFC3A72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14300" y="2908300"/>
              <a:ext cx="4711700" cy="3378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16.780459027781" createdVersion="8" refreshedVersion="8" minRefreshableVersion="3" recordCount="101" xr:uid="{0CB7FF9A-F7A1-CC4B-B74E-30779F5BF389}">
  <cacheSource type="worksheet">
    <worksheetSource ref="A1:E1048576" sheet="Dataset1_SalesData"/>
  </cacheSource>
  <cacheFields count="7">
    <cacheField name="Date" numFmtId="0">
      <sharedItems containsNonDate="0" containsDate="1" containsString="0" containsBlank="1" minDate="2023-01-01T00:00:00" maxDate="2023-04-11T00:00:00" count="10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m/>
      </sharedItems>
      <fieldGroup par="6"/>
    </cacheField>
    <cacheField name="Product" numFmtId="0">
      <sharedItems containsBlank="1" count="5">
        <s v="Product C"/>
        <s v="Product D"/>
        <s v="Product A"/>
        <s v="Product B"/>
        <m/>
      </sharedItems>
    </cacheField>
    <cacheField name="Sales" numFmtId="0">
      <sharedItems containsString="0" containsBlank="1" containsNumber="1" containsInteger="1" minValue="564" maxValue="4993"/>
    </cacheField>
    <cacheField name="Region" numFmtId="0">
      <sharedItems containsBlank="1" count="5">
        <s v="North"/>
        <s v="East"/>
        <s v="West"/>
        <s v="South"/>
        <m/>
      </sharedItems>
    </cacheField>
    <cacheField name="Category" numFmtId="0">
      <sharedItems containsBlank="1" count="5">
        <s v="Electronics"/>
        <s v="Furniture"/>
        <s v="Toys"/>
        <s v="Clothing"/>
        <m/>
      </sharedItems>
    </cacheField>
    <cacheField name="Days (Date)" numFmtId="0" databaseField="0">
      <fieldGroup base="0">
        <rangePr groupBy="days" startDate="2023-01-01T00:00:00" endDate="2023-04-11T00:00:00"/>
        <groupItems count="368">
          <s v="&lt;1/1/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1/23"/>
        </groupItems>
      </fieldGroup>
    </cacheField>
    <cacheField name="Months (Date)" numFmtId="0" databaseField="0">
      <fieldGroup base="0">
        <rangePr groupBy="months" startDate="2023-01-01T00:00:00" endDate="2023-04-11T00:00:00"/>
        <groupItems count="14">
          <s v="&lt;1/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1/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16.871208564815" createdVersion="8" refreshedVersion="8" minRefreshableVersion="3" recordCount="100" xr:uid="{F03667BD-BD9E-D54F-915F-C4F0904434CE}">
  <cacheSource type="worksheet">
    <worksheetSource ref="A1:E101" sheet="Dataset4_Transactions"/>
  </cacheSource>
  <cacheFields count="7">
    <cacheField name="Transaction ID" numFmtId="0">
      <sharedItems count="100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  <s v="T031"/>
        <s v="T032"/>
        <s v="T033"/>
        <s v="T034"/>
        <s v="T035"/>
        <s v="T036"/>
        <s v="T037"/>
        <s v="T038"/>
        <s v="T039"/>
        <s v="T040"/>
        <s v="T041"/>
        <s v="T042"/>
        <s v="T043"/>
        <s v="T044"/>
        <s v="T045"/>
        <s v="T046"/>
        <s v="T047"/>
        <s v="T048"/>
        <s v="T049"/>
        <s v="T050"/>
        <s v="T051"/>
        <s v="T052"/>
        <s v="T053"/>
        <s v="T054"/>
        <s v="T055"/>
        <s v="T056"/>
        <s v="T057"/>
        <s v="T058"/>
        <s v="T059"/>
        <s v="T060"/>
        <s v="T061"/>
        <s v="T062"/>
        <s v="T063"/>
        <s v="T064"/>
        <s v="T065"/>
        <s v="T066"/>
        <s v="T067"/>
        <s v="T068"/>
        <s v="T069"/>
        <s v="T070"/>
        <s v="T071"/>
        <s v="T072"/>
        <s v="T073"/>
        <s v="T074"/>
        <s v="T075"/>
        <s v="T076"/>
        <s v="T077"/>
        <s v="T078"/>
        <s v="T079"/>
        <s v="T080"/>
        <s v="T081"/>
        <s v="T082"/>
        <s v="T083"/>
        <s v="T084"/>
        <s v="T085"/>
        <s v="T086"/>
        <s v="T087"/>
        <s v="T088"/>
        <s v="T089"/>
        <s v="T090"/>
        <s v="T091"/>
        <s v="T092"/>
        <s v="T093"/>
        <s v="T094"/>
        <s v="T095"/>
        <s v="T096"/>
        <s v="T097"/>
        <s v="T098"/>
        <s v="T099"/>
        <s v="T100"/>
      </sharedItems>
    </cacheField>
    <cacheField name="Amount" numFmtId="0">
      <sharedItems containsSemiMixedTypes="0" containsString="0" containsNumber="1" minValue="1041.69" maxValue="9971.8700000000008" count="100">
        <n v="1162.99"/>
        <n v="8849.1200000000008"/>
        <n v="9389.06"/>
        <n v="6086.2"/>
        <n v="7269.86"/>
        <n v="9302.49"/>
        <n v="7365.15"/>
        <n v="2372.85"/>
        <n v="6186.6"/>
        <n v="6460.44"/>
        <n v="4817.18"/>
        <n v="7628"/>
        <n v="9409.2999999999993"/>
        <n v="9330.1200000000008"/>
        <n v="5057.55"/>
        <n v="2019.14"/>
        <n v="9863.57"/>
        <n v="8550.08"/>
        <n v="2121.96"/>
        <n v="9287.58"/>
        <n v="8829.07"/>
        <n v="5669.54"/>
        <n v="6321.48"/>
        <n v="4591.0200000000004"/>
        <n v="1492.85"/>
        <n v="4016.78"/>
        <n v="8225.68"/>
        <n v="1041.69"/>
        <n v="4001.49"/>
        <n v="4583.5200000000004"/>
        <n v="5836.56"/>
        <n v="9278.7000000000007"/>
        <n v="4117.1099999999997"/>
        <n v="4122.58"/>
        <n v="7637.51"/>
        <n v="5069.96"/>
        <n v="3021.44"/>
        <n v="5071.96"/>
        <n v="2267.71"/>
        <n v="2587.48"/>
        <n v="5485.31"/>
        <n v="4770.33"/>
        <n v="9233.61"/>
        <n v="4261.55"/>
        <n v="6225.3"/>
        <n v="6690.38"/>
        <n v="1117.8499999999999"/>
        <n v="6971.84"/>
        <n v="2602.3200000000002"/>
        <n v="9649.6299999999992"/>
        <n v="2337.96"/>
        <n v="4731.62"/>
        <n v="1768.15"/>
        <n v="9971.8700000000008"/>
        <n v="5519.76"/>
        <n v="6358.47"/>
        <n v="1603.69"/>
        <n v="7749.64"/>
        <n v="2889.15"/>
        <n v="9082.49"/>
        <n v="2846.26"/>
        <n v="2716.19"/>
        <n v="1328.95"/>
        <n v="5248.6"/>
        <n v="6083.57"/>
        <n v="1591.38"/>
        <n v="7979.75"/>
        <n v="5079.6000000000004"/>
        <n v="5719.51"/>
        <n v="4966.8599999999997"/>
        <n v="4606.87"/>
        <n v="6036.76"/>
        <n v="2397.16"/>
        <n v="2637.35"/>
        <n v="8756.07"/>
        <n v="9515.0400000000009"/>
        <n v="4359.78"/>
        <n v="3436.7"/>
        <n v="6796"/>
        <n v="4678.6099999999997"/>
        <n v="1228.48"/>
        <n v="2405.37"/>
        <n v="7443.75"/>
        <n v="6930.32"/>
        <n v="1243.8599999999999"/>
        <n v="2997.75"/>
        <n v="3079.67"/>
        <n v="7047.03"/>
        <n v="1177.3900000000001"/>
        <n v="1936.98"/>
        <n v="8199.24"/>
        <n v="2606.9"/>
        <n v="6874.71"/>
        <n v="3143.65"/>
        <n v="1894.97"/>
        <n v="3188.55"/>
        <n v="7500.4"/>
        <n v="8701.27"/>
        <n v="8471.98"/>
        <n v="4574.6499999999996"/>
      </sharedItems>
    </cacheField>
    <cacheField name="If-Formula" numFmtId="0">
      <sharedItems/>
    </cacheField>
    <cacheField name="Type" numFmtId="0">
      <sharedItems count="2">
        <s v="Credit"/>
        <s v="Debit"/>
      </sharedItems>
    </cacheField>
    <cacheField name="Date" numFmtId="164">
      <sharedItems containsSemiMixedTypes="0" containsNonDate="0" containsDate="1" containsString="0" minDate="2023-01-01T00:00:00" maxDate="2023-04-11T00:00:00" count="1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</sharedItems>
      <fieldGroup par="6"/>
    </cacheField>
    <cacheField name="Days (Date)" numFmtId="0" databaseField="0">
      <fieldGroup base="4">
        <rangePr groupBy="days" startDate="2023-01-01T00:00:00" endDate="2023-04-11T00:00:00"/>
        <groupItems count="368">
          <s v="&lt;1/1/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1/23"/>
        </groupItems>
      </fieldGroup>
    </cacheField>
    <cacheField name="Months (Date)" numFmtId="0" databaseField="0">
      <fieldGroup base="4">
        <rangePr groupBy="months" startDate="2023-01-01T00:00:00" endDate="2023-04-11T00:00:00"/>
        <groupItems count="14">
          <s v="&lt;1/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1/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661"/>
    <x v="0"/>
    <x v="0"/>
  </r>
  <r>
    <x v="1"/>
    <x v="1"/>
    <n v="4797"/>
    <x v="1"/>
    <x v="1"/>
  </r>
  <r>
    <x v="2"/>
    <x v="2"/>
    <n v="2481"/>
    <x v="0"/>
    <x v="2"/>
  </r>
  <r>
    <x v="3"/>
    <x v="0"/>
    <n v="1495"/>
    <x v="2"/>
    <x v="1"/>
  </r>
  <r>
    <x v="4"/>
    <x v="0"/>
    <n v="3842"/>
    <x v="3"/>
    <x v="1"/>
  </r>
  <r>
    <x v="5"/>
    <x v="1"/>
    <n v="4298"/>
    <x v="1"/>
    <x v="1"/>
  </r>
  <r>
    <x v="6"/>
    <x v="2"/>
    <n v="1775"/>
    <x v="3"/>
    <x v="1"/>
  </r>
  <r>
    <x v="7"/>
    <x v="2"/>
    <n v="1516"/>
    <x v="2"/>
    <x v="3"/>
  </r>
  <r>
    <x v="8"/>
    <x v="0"/>
    <n v="837"/>
    <x v="2"/>
    <x v="2"/>
  </r>
  <r>
    <x v="9"/>
    <x v="3"/>
    <n v="1378"/>
    <x v="2"/>
    <x v="0"/>
  </r>
  <r>
    <x v="10"/>
    <x v="0"/>
    <n v="1576"/>
    <x v="0"/>
    <x v="0"/>
  </r>
  <r>
    <x v="11"/>
    <x v="0"/>
    <n v="4493"/>
    <x v="0"/>
    <x v="2"/>
  </r>
  <r>
    <x v="12"/>
    <x v="0"/>
    <n v="879"/>
    <x v="3"/>
    <x v="0"/>
  </r>
  <r>
    <x v="13"/>
    <x v="0"/>
    <n v="992"/>
    <x v="3"/>
    <x v="2"/>
  </r>
  <r>
    <x v="14"/>
    <x v="1"/>
    <n v="2562"/>
    <x v="1"/>
    <x v="0"/>
  </r>
  <r>
    <x v="15"/>
    <x v="2"/>
    <n v="4384"/>
    <x v="1"/>
    <x v="1"/>
  </r>
  <r>
    <x v="16"/>
    <x v="1"/>
    <n v="564"/>
    <x v="3"/>
    <x v="0"/>
  </r>
  <r>
    <x v="17"/>
    <x v="1"/>
    <n v="3068"/>
    <x v="0"/>
    <x v="2"/>
  </r>
  <r>
    <x v="18"/>
    <x v="1"/>
    <n v="2527"/>
    <x v="2"/>
    <x v="2"/>
  </r>
  <r>
    <x v="19"/>
    <x v="0"/>
    <n v="3195"/>
    <x v="3"/>
    <x v="2"/>
  </r>
  <r>
    <x v="20"/>
    <x v="3"/>
    <n v="1995"/>
    <x v="1"/>
    <x v="2"/>
  </r>
  <r>
    <x v="21"/>
    <x v="2"/>
    <n v="891"/>
    <x v="0"/>
    <x v="2"/>
  </r>
  <r>
    <x v="22"/>
    <x v="3"/>
    <n v="4974"/>
    <x v="3"/>
    <x v="3"/>
  </r>
  <r>
    <x v="23"/>
    <x v="1"/>
    <n v="4061"/>
    <x v="3"/>
    <x v="3"/>
  </r>
  <r>
    <x v="24"/>
    <x v="1"/>
    <n v="2778"/>
    <x v="0"/>
    <x v="0"/>
  </r>
  <r>
    <x v="25"/>
    <x v="3"/>
    <n v="3599"/>
    <x v="3"/>
    <x v="2"/>
  </r>
  <r>
    <x v="26"/>
    <x v="3"/>
    <n v="700"/>
    <x v="0"/>
    <x v="0"/>
  </r>
  <r>
    <x v="27"/>
    <x v="3"/>
    <n v="3604"/>
    <x v="2"/>
    <x v="2"/>
  </r>
  <r>
    <x v="28"/>
    <x v="1"/>
    <n v="2954"/>
    <x v="0"/>
    <x v="2"/>
  </r>
  <r>
    <x v="29"/>
    <x v="1"/>
    <n v="4145"/>
    <x v="0"/>
    <x v="3"/>
  </r>
  <r>
    <x v="30"/>
    <x v="2"/>
    <n v="1304"/>
    <x v="0"/>
    <x v="3"/>
  </r>
  <r>
    <x v="31"/>
    <x v="2"/>
    <n v="3231"/>
    <x v="3"/>
    <x v="1"/>
  </r>
  <r>
    <x v="32"/>
    <x v="1"/>
    <n v="3273"/>
    <x v="3"/>
    <x v="3"/>
  </r>
  <r>
    <x v="33"/>
    <x v="3"/>
    <n v="2070"/>
    <x v="0"/>
    <x v="1"/>
  </r>
  <r>
    <x v="34"/>
    <x v="3"/>
    <n v="3190"/>
    <x v="3"/>
    <x v="1"/>
  </r>
  <r>
    <x v="35"/>
    <x v="2"/>
    <n v="4340"/>
    <x v="1"/>
    <x v="1"/>
  </r>
  <r>
    <x v="36"/>
    <x v="1"/>
    <n v="1528"/>
    <x v="1"/>
    <x v="1"/>
  </r>
  <r>
    <x v="37"/>
    <x v="2"/>
    <n v="1002"/>
    <x v="3"/>
    <x v="1"/>
  </r>
  <r>
    <x v="38"/>
    <x v="2"/>
    <n v="4993"/>
    <x v="3"/>
    <x v="0"/>
  </r>
  <r>
    <x v="39"/>
    <x v="0"/>
    <n v="1370"/>
    <x v="0"/>
    <x v="3"/>
  </r>
  <r>
    <x v="40"/>
    <x v="0"/>
    <n v="4988"/>
    <x v="2"/>
    <x v="1"/>
  </r>
  <r>
    <x v="41"/>
    <x v="0"/>
    <n v="706"/>
    <x v="3"/>
    <x v="2"/>
  </r>
  <r>
    <x v="42"/>
    <x v="3"/>
    <n v="1984"/>
    <x v="1"/>
    <x v="3"/>
  </r>
  <r>
    <x v="43"/>
    <x v="1"/>
    <n v="1363"/>
    <x v="0"/>
    <x v="3"/>
  </r>
  <r>
    <x v="44"/>
    <x v="1"/>
    <n v="3290"/>
    <x v="3"/>
    <x v="1"/>
  </r>
  <r>
    <x v="45"/>
    <x v="1"/>
    <n v="1063"/>
    <x v="1"/>
    <x v="0"/>
  </r>
  <r>
    <x v="46"/>
    <x v="1"/>
    <n v="4691"/>
    <x v="1"/>
    <x v="1"/>
  </r>
  <r>
    <x v="47"/>
    <x v="0"/>
    <n v="2257"/>
    <x v="2"/>
    <x v="0"/>
  </r>
  <r>
    <x v="48"/>
    <x v="3"/>
    <n v="2178"/>
    <x v="0"/>
    <x v="2"/>
  </r>
  <r>
    <x v="49"/>
    <x v="3"/>
    <n v="3742"/>
    <x v="0"/>
    <x v="3"/>
  </r>
  <r>
    <x v="50"/>
    <x v="0"/>
    <n v="1559"/>
    <x v="2"/>
    <x v="2"/>
  </r>
  <r>
    <x v="51"/>
    <x v="3"/>
    <n v="2222"/>
    <x v="2"/>
    <x v="0"/>
  </r>
  <r>
    <x v="52"/>
    <x v="0"/>
    <n v="3814"/>
    <x v="0"/>
    <x v="0"/>
  </r>
  <r>
    <x v="53"/>
    <x v="1"/>
    <n v="3657"/>
    <x v="0"/>
    <x v="2"/>
  </r>
  <r>
    <x v="54"/>
    <x v="0"/>
    <n v="3125"/>
    <x v="3"/>
    <x v="0"/>
  </r>
  <r>
    <x v="55"/>
    <x v="1"/>
    <n v="3229"/>
    <x v="3"/>
    <x v="2"/>
  </r>
  <r>
    <x v="56"/>
    <x v="1"/>
    <n v="2097"/>
    <x v="2"/>
    <x v="3"/>
  </r>
  <r>
    <x v="57"/>
    <x v="2"/>
    <n v="3560"/>
    <x v="3"/>
    <x v="2"/>
  </r>
  <r>
    <x v="58"/>
    <x v="0"/>
    <n v="3193"/>
    <x v="1"/>
    <x v="3"/>
  </r>
  <r>
    <x v="59"/>
    <x v="2"/>
    <n v="4127"/>
    <x v="3"/>
    <x v="2"/>
  </r>
  <r>
    <x v="60"/>
    <x v="0"/>
    <n v="1863"/>
    <x v="3"/>
    <x v="0"/>
  </r>
  <r>
    <x v="61"/>
    <x v="0"/>
    <n v="2481"/>
    <x v="1"/>
    <x v="2"/>
  </r>
  <r>
    <x v="62"/>
    <x v="2"/>
    <n v="2163"/>
    <x v="2"/>
    <x v="0"/>
  </r>
  <r>
    <x v="63"/>
    <x v="2"/>
    <n v="2029"/>
    <x v="1"/>
    <x v="2"/>
  </r>
  <r>
    <x v="64"/>
    <x v="0"/>
    <n v="2538"/>
    <x v="3"/>
    <x v="2"/>
  </r>
  <r>
    <x v="65"/>
    <x v="3"/>
    <n v="3802"/>
    <x v="2"/>
    <x v="1"/>
  </r>
  <r>
    <x v="66"/>
    <x v="1"/>
    <n v="2737"/>
    <x v="3"/>
    <x v="0"/>
  </r>
  <r>
    <x v="67"/>
    <x v="2"/>
    <n v="1806"/>
    <x v="1"/>
    <x v="1"/>
  </r>
  <r>
    <x v="68"/>
    <x v="1"/>
    <n v="4529"/>
    <x v="1"/>
    <x v="0"/>
  </r>
  <r>
    <x v="69"/>
    <x v="3"/>
    <n v="3175"/>
    <x v="3"/>
    <x v="1"/>
  </r>
  <r>
    <x v="70"/>
    <x v="3"/>
    <n v="1782"/>
    <x v="0"/>
    <x v="3"/>
  </r>
  <r>
    <x v="71"/>
    <x v="3"/>
    <n v="1209"/>
    <x v="0"/>
    <x v="2"/>
  </r>
  <r>
    <x v="72"/>
    <x v="2"/>
    <n v="4913"/>
    <x v="1"/>
    <x v="0"/>
  </r>
  <r>
    <x v="73"/>
    <x v="3"/>
    <n v="4248"/>
    <x v="1"/>
    <x v="0"/>
  </r>
  <r>
    <x v="74"/>
    <x v="2"/>
    <n v="1163"/>
    <x v="0"/>
    <x v="2"/>
  </r>
  <r>
    <x v="75"/>
    <x v="3"/>
    <n v="2498"/>
    <x v="0"/>
    <x v="0"/>
  </r>
  <r>
    <x v="76"/>
    <x v="1"/>
    <n v="3945"/>
    <x v="3"/>
    <x v="0"/>
  </r>
  <r>
    <x v="77"/>
    <x v="1"/>
    <n v="4243"/>
    <x v="3"/>
    <x v="1"/>
  </r>
  <r>
    <x v="78"/>
    <x v="0"/>
    <n v="1995"/>
    <x v="0"/>
    <x v="0"/>
  </r>
  <r>
    <x v="79"/>
    <x v="1"/>
    <n v="3804"/>
    <x v="3"/>
    <x v="3"/>
  </r>
  <r>
    <x v="80"/>
    <x v="0"/>
    <n v="4263"/>
    <x v="3"/>
    <x v="3"/>
  </r>
  <r>
    <x v="81"/>
    <x v="1"/>
    <n v="2353"/>
    <x v="2"/>
    <x v="2"/>
  </r>
  <r>
    <x v="82"/>
    <x v="2"/>
    <n v="1791"/>
    <x v="3"/>
    <x v="0"/>
  </r>
  <r>
    <x v="83"/>
    <x v="1"/>
    <n v="4081"/>
    <x v="1"/>
    <x v="2"/>
  </r>
  <r>
    <x v="84"/>
    <x v="0"/>
    <n v="3957"/>
    <x v="3"/>
    <x v="3"/>
  </r>
  <r>
    <x v="85"/>
    <x v="0"/>
    <n v="2136"/>
    <x v="3"/>
    <x v="0"/>
  </r>
  <r>
    <x v="86"/>
    <x v="3"/>
    <n v="4196"/>
    <x v="0"/>
    <x v="0"/>
  </r>
  <r>
    <x v="87"/>
    <x v="2"/>
    <n v="3499"/>
    <x v="1"/>
    <x v="2"/>
  </r>
  <r>
    <x v="88"/>
    <x v="1"/>
    <n v="3652"/>
    <x v="3"/>
    <x v="3"/>
  </r>
  <r>
    <x v="89"/>
    <x v="3"/>
    <n v="1198"/>
    <x v="3"/>
    <x v="0"/>
  </r>
  <r>
    <x v="90"/>
    <x v="1"/>
    <n v="2660"/>
    <x v="2"/>
    <x v="2"/>
  </r>
  <r>
    <x v="91"/>
    <x v="1"/>
    <n v="4597"/>
    <x v="3"/>
    <x v="3"/>
  </r>
  <r>
    <x v="92"/>
    <x v="3"/>
    <n v="1354"/>
    <x v="3"/>
    <x v="2"/>
  </r>
  <r>
    <x v="93"/>
    <x v="3"/>
    <n v="3974"/>
    <x v="2"/>
    <x v="1"/>
  </r>
  <r>
    <x v="94"/>
    <x v="3"/>
    <n v="2207"/>
    <x v="0"/>
    <x v="0"/>
  </r>
  <r>
    <x v="95"/>
    <x v="3"/>
    <n v="3277"/>
    <x v="3"/>
    <x v="1"/>
  </r>
  <r>
    <x v="96"/>
    <x v="3"/>
    <n v="2233"/>
    <x v="2"/>
    <x v="3"/>
  </r>
  <r>
    <x v="97"/>
    <x v="1"/>
    <n v="4010"/>
    <x v="1"/>
    <x v="1"/>
  </r>
  <r>
    <x v="98"/>
    <x v="3"/>
    <n v="702"/>
    <x v="0"/>
    <x v="1"/>
  </r>
  <r>
    <x v="99"/>
    <x v="2"/>
    <n v="3755"/>
    <x v="1"/>
    <x v="3"/>
  </r>
  <r>
    <x v="100"/>
    <x v="4"/>
    <m/>
    <x v="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s v="Large "/>
    <x v="0"/>
    <x v="0"/>
  </r>
  <r>
    <x v="1"/>
    <x v="1"/>
    <s v="Large "/>
    <x v="1"/>
    <x v="1"/>
  </r>
  <r>
    <x v="2"/>
    <x v="2"/>
    <s v="Large "/>
    <x v="0"/>
    <x v="2"/>
  </r>
  <r>
    <x v="3"/>
    <x v="3"/>
    <s v="Large "/>
    <x v="1"/>
    <x v="3"/>
  </r>
  <r>
    <x v="4"/>
    <x v="4"/>
    <s v="Large "/>
    <x v="0"/>
    <x v="4"/>
  </r>
  <r>
    <x v="5"/>
    <x v="5"/>
    <s v="Large "/>
    <x v="0"/>
    <x v="5"/>
  </r>
  <r>
    <x v="6"/>
    <x v="6"/>
    <s v="Large "/>
    <x v="1"/>
    <x v="6"/>
  </r>
  <r>
    <x v="7"/>
    <x v="7"/>
    <s v="Large "/>
    <x v="1"/>
    <x v="7"/>
  </r>
  <r>
    <x v="8"/>
    <x v="8"/>
    <s v="Large "/>
    <x v="0"/>
    <x v="8"/>
  </r>
  <r>
    <x v="9"/>
    <x v="9"/>
    <s v="Large "/>
    <x v="1"/>
    <x v="9"/>
  </r>
  <r>
    <x v="10"/>
    <x v="10"/>
    <s v="Large "/>
    <x v="0"/>
    <x v="10"/>
  </r>
  <r>
    <x v="11"/>
    <x v="11"/>
    <s v="Large "/>
    <x v="0"/>
    <x v="11"/>
  </r>
  <r>
    <x v="12"/>
    <x v="12"/>
    <s v="Large "/>
    <x v="0"/>
    <x v="12"/>
  </r>
  <r>
    <x v="13"/>
    <x v="13"/>
    <s v="Large "/>
    <x v="0"/>
    <x v="13"/>
  </r>
  <r>
    <x v="14"/>
    <x v="14"/>
    <s v="Large "/>
    <x v="0"/>
    <x v="14"/>
  </r>
  <r>
    <x v="15"/>
    <x v="15"/>
    <s v="Large "/>
    <x v="1"/>
    <x v="15"/>
  </r>
  <r>
    <x v="16"/>
    <x v="16"/>
    <s v="Large "/>
    <x v="0"/>
    <x v="16"/>
  </r>
  <r>
    <x v="17"/>
    <x v="17"/>
    <s v="Large "/>
    <x v="0"/>
    <x v="17"/>
  </r>
  <r>
    <x v="18"/>
    <x v="18"/>
    <s v="Large "/>
    <x v="1"/>
    <x v="18"/>
  </r>
  <r>
    <x v="19"/>
    <x v="19"/>
    <s v="Large "/>
    <x v="0"/>
    <x v="19"/>
  </r>
  <r>
    <x v="20"/>
    <x v="20"/>
    <s v="Large "/>
    <x v="1"/>
    <x v="20"/>
  </r>
  <r>
    <x v="21"/>
    <x v="21"/>
    <s v="Large "/>
    <x v="1"/>
    <x v="21"/>
  </r>
  <r>
    <x v="22"/>
    <x v="22"/>
    <s v="Large "/>
    <x v="1"/>
    <x v="22"/>
  </r>
  <r>
    <x v="23"/>
    <x v="23"/>
    <s v="Large "/>
    <x v="0"/>
    <x v="23"/>
  </r>
  <r>
    <x v="24"/>
    <x v="24"/>
    <s v="Large "/>
    <x v="0"/>
    <x v="24"/>
  </r>
  <r>
    <x v="25"/>
    <x v="25"/>
    <s v="Large "/>
    <x v="0"/>
    <x v="25"/>
  </r>
  <r>
    <x v="26"/>
    <x v="26"/>
    <s v="Large "/>
    <x v="1"/>
    <x v="26"/>
  </r>
  <r>
    <x v="27"/>
    <x v="27"/>
    <s v="Large "/>
    <x v="0"/>
    <x v="27"/>
  </r>
  <r>
    <x v="28"/>
    <x v="28"/>
    <s v="Large "/>
    <x v="1"/>
    <x v="28"/>
  </r>
  <r>
    <x v="29"/>
    <x v="29"/>
    <s v="Large "/>
    <x v="0"/>
    <x v="29"/>
  </r>
  <r>
    <x v="30"/>
    <x v="30"/>
    <s v="Large "/>
    <x v="1"/>
    <x v="30"/>
  </r>
  <r>
    <x v="31"/>
    <x v="31"/>
    <s v="Large "/>
    <x v="0"/>
    <x v="31"/>
  </r>
  <r>
    <x v="32"/>
    <x v="32"/>
    <s v="Large "/>
    <x v="0"/>
    <x v="32"/>
  </r>
  <r>
    <x v="33"/>
    <x v="33"/>
    <s v="Large "/>
    <x v="0"/>
    <x v="33"/>
  </r>
  <r>
    <x v="34"/>
    <x v="34"/>
    <s v="Large "/>
    <x v="1"/>
    <x v="34"/>
  </r>
  <r>
    <x v="35"/>
    <x v="35"/>
    <s v="Large "/>
    <x v="1"/>
    <x v="35"/>
  </r>
  <r>
    <x v="36"/>
    <x v="36"/>
    <s v="Large "/>
    <x v="0"/>
    <x v="36"/>
  </r>
  <r>
    <x v="37"/>
    <x v="37"/>
    <s v="Large "/>
    <x v="0"/>
    <x v="37"/>
  </r>
  <r>
    <x v="38"/>
    <x v="38"/>
    <s v="Large "/>
    <x v="1"/>
    <x v="38"/>
  </r>
  <r>
    <x v="39"/>
    <x v="39"/>
    <s v="Large "/>
    <x v="1"/>
    <x v="39"/>
  </r>
  <r>
    <x v="40"/>
    <x v="40"/>
    <s v="Large "/>
    <x v="1"/>
    <x v="40"/>
  </r>
  <r>
    <x v="41"/>
    <x v="41"/>
    <s v="Large "/>
    <x v="0"/>
    <x v="41"/>
  </r>
  <r>
    <x v="42"/>
    <x v="42"/>
    <s v="Large "/>
    <x v="1"/>
    <x v="42"/>
  </r>
  <r>
    <x v="43"/>
    <x v="43"/>
    <s v="Large "/>
    <x v="0"/>
    <x v="43"/>
  </r>
  <r>
    <x v="44"/>
    <x v="44"/>
    <s v="Large "/>
    <x v="1"/>
    <x v="44"/>
  </r>
  <r>
    <x v="45"/>
    <x v="45"/>
    <s v="Large "/>
    <x v="0"/>
    <x v="45"/>
  </r>
  <r>
    <x v="46"/>
    <x v="46"/>
    <s v="Large "/>
    <x v="1"/>
    <x v="46"/>
  </r>
  <r>
    <x v="47"/>
    <x v="47"/>
    <s v="Large "/>
    <x v="1"/>
    <x v="47"/>
  </r>
  <r>
    <x v="48"/>
    <x v="48"/>
    <s v="Large "/>
    <x v="1"/>
    <x v="48"/>
  </r>
  <r>
    <x v="49"/>
    <x v="49"/>
    <s v="Large "/>
    <x v="1"/>
    <x v="49"/>
  </r>
  <r>
    <x v="50"/>
    <x v="50"/>
    <s v="Large "/>
    <x v="1"/>
    <x v="50"/>
  </r>
  <r>
    <x v="51"/>
    <x v="51"/>
    <s v="Large "/>
    <x v="0"/>
    <x v="51"/>
  </r>
  <r>
    <x v="52"/>
    <x v="52"/>
    <s v="Large "/>
    <x v="1"/>
    <x v="52"/>
  </r>
  <r>
    <x v="53"/>
    <x v="53"/>
    <s v="Large "/>
    <x v="1"/>
    <x v="53"/>
  </r>
  <r>
    <x v="54"/>
    <x v="54"/>
    <s v="Large "/>
    <x v="1"/>
    <x v="54"/>
  </r>
  <r>
    <x v="55"/>
    <x v="55"/>
    <s v="Large "/>
    <x v="0"/>
    <x v="55"/>
  </r>
  <r>
    <x v="56"/>
    <x v="56"/>
    <s v="Large "/>
    <x v="1"/>
    <x v="56"/>
  </r>
  <r>
    <x v="57"/>
    <x v="57"/>
    <s v="Large "/>
    <x v="0"/>
    <x v="57"/>
  </r>
  <r>
    <x v="58"/>
    <x v="58"/>
    <s v="Large "/>
    <x v="1"/>
    <x v="58"/>
  </r>
  <r>
    <x v="59"/>
    <x v="59"/>
    <s v="Large "/>
    <x v="1"/>
    <x v="59"/>
  </r>
  <r>
    <x v="60"/>
    <x v="60"/>
    <s v="Large "/>
    <x v="0"/>
    <x v="60"/>
  </r>
  <r>
    <x v="61"/>
    <x v="61"/>
    <s v="Large "/>
    <x v="1"/>
    <x v="61"/>
  </r>
  <r>
    <x v="62"/>
    <x v="62"/>
    <s v="Large "/>
    <x v="0"/>
    <x v="62"/>
  </r>
  <r>
    <x v="63"/>
    <x v="63"/>
    <s v="Large "/>
    <x v="0"/>
    <x v="63"/>
  </r>
  <r>
    <x v="64"/>
    <x v="64"/>
    <s v="Large "/>
    <x v="1"/>
    <x v="64"/>
  </r>
  <r>
    <x v="65"/>
    <x v="65"/>
    <s v="Large "/>
    <x v="0"/>
    <x v="65"/>
  </r>
  <r>
    <x v="66"/>
    <x v="66"/>
    <s v="Large "/>
    <x v="1"/>
    <x v="66"/>
  </r>
  <r>
    <x v="67"/>
    <x v="67"/>
    <s v="Large "/>
    <x v="1"/>
    <x v="67"/>
  </r>
  <r>
    <x v="68"/>
    <x v="68"/>
    <s v="Large "/>
    <x v="0"/>
    <x v="68"/>
  </r>
  <r>
    <x v="69"/>
    <x v="69"/>
    <s v="Large "/>
    <x v="0"/>
    <x v="69"/>
  </r>
  <r>
    <x v="70"/>
    <x v="70"/>
    <s v="Large "/>
    <x v="0"/>
    <x v="70"/>
  </r>
  <r>
    <x v="71"/>
    <x v="71"/>
    <s v="Large "/>
    <x v="0"/>
    <x v="71"/>
  </r>
  <r>
    <x v="72"/>
    <x v="72"/>
    <s v="Large "/>
    <x v="1"/>
    <x v="72"/>
  </r>
  <r>
    <x v="73"/>
    <x v="73"/>
    <s v="Large "/>
    <x v="1"/>
    <x v="73"/>
  </r>
  <r>
    <x v="74"/>
    <x v="74"/>
    <s v="Large "/>
    <x v="0"/>
    <x v="74"/>
  </r>
  <r>
    <x v="75"/>
    <x v="75"/>
    <s v="Large "/>
    <x v="1"/>
    <x v="75"/>
  </r>
  <r>
    <x v="76"/>
    <x v="76"/>
    <s v="Large "/>
    <x v="1"/>
    <x v="76"/>
  </r>
  <r>
    <x v="77"/>
    <x v="77"/>
    <s v="Large "/>
    <x v="1"/>
    <x v="77"/>
  </r>
  <r>
    <x v="78"/>
    <x v="78"/>
    <s v="Large "/>
    <x v="1"/>
    <x v="78"/>
  </r>
  <r>
    <x v="79"/>
    <x v="79"/>
    <s v="Large "/>
    <x v="0"/>
    <x v="79"/>
  </r>
  <r>
    <x v="80"/>
    <x v="80"/>
    <s v="Large "/>
    <x v="0"/>
    <x v="80"/>
  </r>
  <r>
    <x v="81"/>
    <x v="81"/>
    <s v="Large "/>
    <x v="1"/>
    <x v="81"/>
  </r>
  <r>
    <x v="82"/>
    <x v="82"/>
    <s v="Large "/>
    <x v="0"/>
    <x v="82"/>
  </r>
  <r>
    <x v="83"/>
    <x v="83"/>
    <s v="Large "/>
    <x v="0"/>
    <x v="83"/>
  </r>
  <r>
    <x v="84"/>
    <x v="84"/>
    <s v="Large "/>
    <x v="0"/>
    <x v="84"/>
  </r>
  <r>
    <x v="85"/>
    <x v="85"/>
    <s v="Large "/>
    <x v="1"/>
    <x v="85"/>
  </r>
  <r>
    <x v="86"/>
    <x v="86"/>
    <s v="Large "/>
    <x v="1"/>
    <x v="86"/>
  </r>
  <r>
    <x v="87"/>
    <x v="87"/>
    <s v="Large "/>
    <x v="1"/>
    <x v="87"/>
  </r>
  <r>
    <x v="88"/>
    <x v="88"/>
    <s v="Large "/>
    <x v="0"/>
    <x v="88"/>
  </r>
  <r>
    <x v="89"/>
    <x v="89"/>
    <s v="Large "/>
    <x v="1"/>
    <x v="89"/>
  </r>
  <r>
    <x v="90"/>
    <x v="90"/>
    <s v="Large "/>
    <x v="1"/>
    <x v="90"/>
  </r>
  <r>
    <x v="91"/>
    <x v="91"/>
    <s v="Large "/>
    <x v="0"/>
    <x v="91"/>
  </r>
  <r>
    <x v="92"/>
    <x v="92"/>
    <s v="Large "/>
    <x v="1"/>
    <x v="92"/>
  </r>
  <r>
    <x v="93"/>
    <x v="93"/>
    <s v="Large "/>
    <x v="1"/>
    <x v="93"/>
  </r>
  <r>
    <x v="94"/>
    <x v="94"/>
    <s v="Large "/>
    <x v="0"/>
    <x v="94"/>
  </r>
  <r>
    <x v="95"/>
    <x v="95"/>
    <s v="Large "/>
    <x v="0"/>
    <x v="95"/>
  </r>
  <r>
    <x v="96"/>
    <x v="96"/>
    <s v="Large "/>
    <x v="0"/>
    <x v="96"/>
  </r>
  <r>
    <x v="97"/>
    <x v="97"/>
    <s v="Large "/>
    <x v="1"/>
    <x v="97"/>
  </r>
  <r>
    <x v="98"/>
    <x v="98"/>
    <s v="Large "/>
    <x v="1"/>
    <x v="98"/>
  </r>
  <r>
    <x v="99"/>
    <x v="99"/>
    <s v="Large "/>
    <x v="1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CE0AF-B6FB-1540-B127-D284BA8F6139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27" firstHeaderRow="1" firstDataRow="2" firstDataCol="1"/>
  <pivotFields count="7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dataField="1" showAll="0"/>
    <pivotField axis="axisCol" showAll="0">
      <items count="6">
        <item x="1"/>
        <item x="0"/>
        <item x="3"/>
        <item x="2"/>
        <item x="4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6"/>
    <field x="5"/>
  </rowFields>
  <rowItems count="23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E9F7C-05A3-E742-A329-F5EF5A521D2E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6:M10" firstHeaderRow="1" firstDataRow="2" firstDataCol="1" rowPageCount="1" colPageCount="1"/>
  <pivotFields count="7">
    <pivotField axis="axisPage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showAll="0">
      <items count="101">
        <item x="27"/>
        <item x="46"/>
        <item x="0"/>
        <item x="88"/>
        <item x="80"/>
        <item x="84"/>
        <item x="62"/>
        <item x="24"/>
        <item x="65"/>
        <item x="56"/>
        <item x="52"/>
        <item x="94"/>
        <item x="89"/>
        <item x="15"/>
        <item x="18"/>
        <item x="38"/>
        <item x="50"/>
        <item x="7"/>
        <item x="72"/>
        <item x="81"/>
        <item x="39"/>
        <item x="48"/>
        <item x="91"/>
        <item x="73"/>
        <item x="61"/>
        <item x="60"/>
        <item x="58"/>
        <item x="85"/>
        <item x="36"/>
        <item x="86"/>
        <item x="93"/>
        <item x="95"/>
        <item x="77"/>
        <item x="28"/>
        <item x="25"/>
        <item x="32"/>
        <item x="33"/>
        <item x="43"/>
        <item x="76"/>
        <item x="99"/>
        <item x="29"/>
        <item x="23"/>
        <item x="70"/>
        <item x="79"/>
        <item x="51"/>
        <item x="41"/>
        <item x="10"/>
        <item x="69"/>
        <item x="14"/>
        <item x="35"/>
        <item x="37"/>
        <item x="67"/>
        <item x="63"/>
        <item x="40"/>
        <item x="54"/>
        <item x="21"/>
        <item x="68"/>
        <item x="30"/>
        <item x="71"/>
        <item x="64"/>
        <item x="3"/>
        <item x="8"/>
        <item x="44"/>
        <item x="22"/>
        <item x="55"/>
        <item x="9"/>
        <item x="45"/>
        <item x="78"/>
        <item x="92"/>
        <item x="83"/>
        <item x="47"/>
        <item x="87"/>
        <item x="4"/>
        <item x="6"/>
        <item x="82"/>
        <item x="96"/>
        <item x="11"/>
        <item x="34"/>
        <item x="57"/>
        <item x="66"/>
        <item x="90"/>
        <item x="26"/>
        <item x="98"/>
        <item x="17"/>
        <item x="97"/>
        <item x="74"/>
        <item x="20"/>
        <item x="1"/>
        <item x="59"/>
        <item x="42"/>
        <item x="31"/>
        <item x="19"/>
        <item x="5"/>
        <item x="13"/>
        <item x="2"/>
        <item x="12"/>
        <item x="75"/>
        <item x="49"/>
        <item x="16"/>
        <item x="5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5"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um of Amount" fld="1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" width="23.6640625" customWidth="1"/>
    <col min="2" max="2" width="18.83203125" customWidth="1"/>
    <col min="3" max="3" width="15.6640625" customWidth="1"/>
    <col min="4" max="4" width="16.1640625" customWidth="1"/>
    <col min="5" max="5" width="15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20" x14ac:dyDescent="0.2">
      <c r="A2" s="2">
        <v>44927</v>
      </c>
      <c r="B2" t="s">
        <v>5</v>
      </c>
      <c r="C2">
        <v>661</v>
      </c>
      <c r="D2" t="s">
        <v>9</v>
      </c>
      <c r="E2" t="s">
        <v>13</v>
      </c>
      <c r="G2" s="3"/>
    </row>
    <row r="3" spans="1:7" x14ac:dyDescent="0.2">
      <c r="A3" s="2">
        <v>44928</v>
      </c>
      <c r="B3" t="s">
        <v>6</v>
      </c>
      <c r="C3">
        <v>4797</v>
      </c>
      <c r="D3" t="s">
        <v>10</v>
      </c>
      <c r="E3" t="s">
        <v>14</v>
      </c>
    </row>
    <row r="4" spans="1:7" ht="20" x14ac:dyDescent="0.2">
      <c r="A4" s="2">
        <v>44929</v>
      </c>
      <c r="B4" t="s">
        <v>7</v>
      </c>
      <c r="C4">
        <v>2481</v>
      </c>
      <c r="D4" t="s">
        <v>9</v>
      </c>
      <c r="E4" t="s">
        <v>15</v>
      </c>
      <c r="G4" s="3"/>
    </row>
    <row r="5" spans="1:7" ht="20" x14ac:dyDescent="0.2">
      <c r="A5" s="2">
        <v>44930</v>
      </c>
      <c r="B5" t="s">
        <v>5</v>
      </c>
      <c r="C5">
        <v>1495</v>
      </c>
      <c r="D5" t="s">
        <v>11</v>
      </c>
      <c r="E5" t="s">
        <v>14</v>
      </c>
      <c r="G5" s="3"/>
    </row>
    <row r="6" spans="1:7" ht="20" x14ac:dyDescent="0.2">
      <c r="A6" s="2">
        <v>44931</v>
      </c>
      <c r="B6" t="s">
        <v>5</v>
      </c>
      <c r="C6">
        <v>3842</v>
      </c>
      <c r="D6" t="s">
        <v>12</v>
      </c>
      <c r="E6" t="s">
        <v>14</v>
      </c>
      <c r="G6" s="3"/>
    </row>
    <row r="7" spans="1:7" ht="20" x14ac:dyDescent="0.2">
      <c r="A7" s="2">
        <v>44932</v>
      </c>
      <c r="B7" t="s">
        <v>6</v>
      </c>
      <c r="C7">
        <v>4298</v>
      </c>
      <c r="D7" t="s">
        <v>10</v>
      </c>
      <c r="E7" t="s">
        <v>14</v>
      </c>
      <c r="G7" s="4"/>
    </row>
    <row r="8" spans="1:7" ht="20" x14ac:dyDescent="0.2">
      <c r="A8" s="2">
        <v>44933</v>
      </c>
      <c r="B8" t="s">
        <v>7</v>
      </c>
      <c r="C8">
        <v>1775</v>
      </c>
      <c r="D8" t="s">
        <v>12</v>
      </c>
      <c r="E8" t="s">
        <v>14</v>
      </c>
      <c r="G8" s="4"/>
    </row>
    <row r="9" spans="1:7" ht="20" x14ac:dyDescent="0.2">
      <c r="A9" s="2">
        <v>44934</v>
      </c>
      <c r="B9" t="s">
        <v>7</v>
      </c>
      <c r="C9">
        <v>1516</v>
      </c>
      <c r="D9" t="s">
        <v>11</v>
      </c>
      <c r="E9" t="s">
        <v>16</v>
      </c>
      <c r="G9" s="4"/>
    </row>
    <row r="10" spans="1:7" ht="20" x14ac:dyDescent="0.2">
      <c r="A10" s="2">
        <v>44935</v>
      </c>
      <c r="B10" t="s">
        <v>5</v>
      </c>
      <c r="C10">
        <v>837</v>
      </c>
      <c r="D10" t="s">
        <v>11</v>
      </c>
      <c r="E10" t="s">
        <v>15</v>
      </c>
      <c r="G10" s="4"/>
    </row>
    <row r="11" spans="1:7" x14ac:dyDescent="0.2">
      <c r="A11" s="2">
        <v>44936</v>
      </c>
      <c r="B11" t="s">
        <v>8</v>
      </c>
      <c r="C11">
        <v>1378</v>
      </c>
      <c r="D11" t="s">
        <v>11</v>
      </c>
      <c r="E11" t="s">
        <v>13</v>
      </c>
    </row>
    <row r="12" spans="1:7" x14ac:dyDescent="0.2">
      <c r="A12" s="2">
        <v>44937</v>
      </c>
      <c r="B12" t="s">
        <v>5</v>
      </c>
      <c r="C12">
        <v>1576</v>
      </c>
      <c r="D12" t="s">
        <v>9</v>
      </c>
      <c r="E12" t="s">
        <v>13</v>
      </c>
    </row>
    <row r="13" spans="1:7" x14ac:dyDescent="0.2">
      <c r="A13" s="2">
        <v>44938</v>
      </c>
      <c r="B13" t="s">
        <v>5</v>
      </c>
      <c r="C13">
        <v>4493</v>
      </c>
      <c r="D13" t="s">
        <v>9</v>
      </c>
      <c r="E13" t="s">
        <v>15</v>
      </c>
    </row>
    <row r="14" spans="1:7" x14ac:dyDescent="0.2">
      <c r="A14" s="2">
        <v>44939</v>
      </c>
      <c r="B14" t="s">
        <v>5</v>
      </c>
      <c r="C14">
        <v>879</v>
      </c>
      <c r="D14" t="s">
        <v>12</v>
      </c>
      <c r="E14" t="s">
        <v>13</v>
      </c>
    </row>
    <row r="15" spans="1:7" x14ac:dyDescent="0.2">
      <c r="A15" s="2">
        <v>44940</v>
      </c>
      <c r="B15" t="s">
        <v>5</v>
      </c>
      <c r="C15">
        <v>992</v>
      </c>
      <c r="D15" t="s">
        <v>12</v>
      </c>
      <c r="E15" t="s">
        <v>15</v>
      </c>
    </row>
    <row r="16" spans="1:7" x14ac:dyDescent="0.2">
      <c r="A16" s="2">
        <v>44941</v>
      </c>
      <c r="B16" t="s">
        <v>6</v>
      </c>
      <c r="C16">
        <v>2562</v>
      </c>
      <c r="D16" t="s">
        <v>10</v>
      </c>
      <c r="E16" t="s">
        <v>13</v>
      </c>
    </row>
    <row r="17" spans="1:5" x14ac:dyDescent="0.2">
      <c r="A17" s="2">
        <v>44942</v>
      </c>
      <c r="B17" t="s">
        <v>7</v>
      </c>
      <c r="C17">
        <v>4384</v>
      </c>
      <c r="D17" t="s">
        <v>10</v>
      </c>
      <c r="E17" t="s">
        <v>14</v>
      </c>
    </row>
    <row r="18" spans="1:5" x14ac:dyDescent="0.2">
      <c r="A18" s="2">
        <v>44943</v>
      </c>
      <c r="B18" t="s">
        <v>6</v>
      </c>
      <c r="C18">
        <v>564</v>
      </c>
      <c r="D18" t="s">
        <v>12</v>
      </c>
      <c r="E18" t="s">
        <v>13</v>
      </c>
    </row>
    <row r="19" spans="1:5" x14ac:dyDescent="0.2">
      <c r="A19" s="2">
        <v>44944</v>
      </c>
      <c r="B19" t="s">
        <v>6</v>
      </c>
      <c r="C19">
        <v>3068</v>
      </c>
      <c r="D19" t="s">
        <v>9</v>
      </c>
      <c r="E19" t="s">
        <v>15</v>
      </c>
    </row>
    <row r="20" spans="1:5" x14ac:dyDescent="0.2">
      <c r="A20" s="2">
        <v>44945</v>
      </c>
      <c r="B20" t="s">
        <v>6</v>
      </c>
      <c r="C20">
        <v>2527</v>
      </c>
      <c r="D20" t="s">
        <v>11</v>
      </c>
      <c r="E20" t="s">
        <v>15</v>
      </c>
    </row>
    <row r="21" spans="1:5" x14ac:dyDescent="0.2">
      <c r="A21" s="2">
        <v>44946</v>
      </c>
      <c r="B21" t="s">
        <v>5</v>
      </c>
      <c r="C21">
        <v>3195</v>
      </c>
      <c r="D21" t="s">
        <v>12</v>
      </c>
      <c r="E21" t="s">
        <v>15</v>
      </c>
    </row>
    <row r="22" spans="1:5" x14ac:dyDescent="0.2">
      <c r="A22" s="2">
        <v>44947</v>
      </c>
      <c r="B22" t="s">
        <v>8</v>
      </c>
      <c r="C22">
        <v>1995</v>
      </c>
      <c r="D22" t="s">
        <v>10</v>
      </c>
      <c r="E22" t="s">
        <v>15</v>
      </c>
    </row>
    <row r="23" spans="1:5" x14ac:dyDescent="0.2">
      <c r="A23" s="2">
        <v>44948</v>
      </c>
      <c r="B23" t="s">
        <v>7</v>
      </c>
      <c r="C23">
        <v>891</v>
      </c>
      <c r="D23" t="s">
        <v>9</v>
      </c>
      <c r="E23" t="s">
        <v>15</v>
      </c>
    </row>
    <row r="24" spans="1:5" x14ac:dyDescent="0.2">
      <c r="A24" s="2">
        <v>44949</v>
      </c>
      <c r="B24" t="s">
        <v>8</v>
      </c>
      <c r="C24">
        <v>4974</v>
      </c>
      <c r="D24" t="s">
        <v>12</v>
      </c>
      <c r="E24" t="s">
        <v>16</v>
      </c>
    </row>
    <row r="25" spans="1:5" x14ac:dyDescent="0.2">
      <c r="A25" s="2">
        <v>44950</v>
      </c>
      <c r="B25" t="s">
        <v>6</v>
      </c>
      <c r="C25">
        <v>4061</v>
      </c>
      <c r="D25" t="s">
        <v>12</v>
      </c>
      <c r="E25" t="s">
        <v>16</v>
      </c>
    </row>
    <row r="26" spans="1:5" x14ac:dyDescent="0.2">
      <c r="A26" s="2">
        <v>44951</v>
      </c>
      <c r="B26" t="s">
        <v>6</v>
      </c>
      <c r="C26">
        <v>2778</v>
      </c>
      <c r="D26" t="s">
        <v>9</v>
      </c>
      <c r="E26" t="s">
        <v>13</v>
      </c>
    </row>
    <row r="27" spans="1:5" x14ac:dyDescent="0.2">
      <c r="A27" s="2">
        <v>44952</v>
      </c>
      <c r="B27" t="s">
        <v>8</v>
      </c>
      <c r="C27">
        <v>3599</v>
      </c>
      <c r="D27" t="s">
        <v>12</v>
      </c>
      <c r="E27" t="s">
        <v>15</v>
      </c>
    </row>
    <row r="28" spans="1:5" x14ac:dyDescent="0.2">
      <c r="A28" s="2">
        <v>44953</v>
      </c>
      <c r="B28" t="s">
        <v>8</v>
      </c>
      <c r="C28">
        <v>700</v>
      </c>
      <c r="D28" t="s">
        <v>9</v>
      </c>
      <c r="E28" t="s">
        <v>13</v>
      </c>
    </row>
    <row r="29" spans="1:5" x14ac:dyDescent="0.2">
      <c r="A29" s="2">
        <v>44954</v>
      </c>
      <c r="B29" t="s">
        <v>8</v>
      </c>
      <c r="C29">
        <v>3604</v>
      </c>
      <c r="D29" t="s">
        <v>11</v>
      </c>
      <c r="E29" t="s">
        <v>15</v>
      </c>
    </row>
    <row r="30" spans="1:5" x14ac:dyDescent="0.2">
      <c r="A30" s="2">
        <v>44955</v>
      </c>
      <c r="B30" t="s">
        <v>6</v>
      </c>
      <c r="C30">
        <v>2954</v>
      </c>
      <c r="D30" t="s">
        <v>9</v>
      </c>
      <c r="E30" t="s">
        <v>15</v>
      </c>
    </row>
    <row r="31" spans="1:5" x14ac:dyDescent="0.2">
      <c r="A31" s="2">
        <v>44956</v>
      </c>
      <c r="B31" t="s">
        <v>6</v>
      </c>
      <c r="C31">
        <v>4145</v>
      </c>
      <c r="D31" t="s">
        <v>9</v>
      </c>
      <c r="E31" t="s">
        <v>16</v>
      </c>
    </row>
    <row r="32" spans="1:5" x14ac:dyDescent="0.2">
      <c r="A32" s="2">
        <v>44957</v>
      </c>
      <c r="B32" t="s">
        <v>7</v>
      </c>
      <c r="C32">
        <v>1304</v>
      </c>
      <c r="D32" t="s">
        <v>9</v>
      </c>
      <c r="E32" t="s">
        <v>16</v>
      </c>
    </row>
    <row r="33" spans="1:5" x14ac:dyDescent="0.2">
      <c r="A33" s="2">
        <v>44958</v>
      </c>
      <c r="B33" t="s">
        <v>7</v>
      </c>
      <c r="C33">
        <v>3231</v>
      </c>
      <c r="D33" t="s">
        <v>12</v>
      </c>
      <c r="E33" t="s">
        <v>14</v>
      </c>
    </row>
    <row r="34" spans="1:5" x14ac:dyDescent="0.2">
      <c r="A34" s="2">
        <v>44959</v>
      </c>
      <c r="B34" t="s">
        <v>6</v>
      </c>
      <c r="C34">
        <v>3273</v>
      </c>
      <c r="D34" t="s">
        <v>12</v>
      </c>
      <c r="E34" t="s">
        <v>16</v>
      </c>
    </row>
    <row r="35" spans="1:5" x14ac:dyDescent="0.2">
      <c r="A35" s="2">
        <v>44960</v>
      </c>
      <c r="B35" t="s">
        <v>8</v>
      </c>
      <c r="C35">
        <v>2070</v>
      </c>
      <c r="D35" t="s">
        <v>9</v>
      </c>
      <c r="E35" t="s">
        <v>14</v>
      </c>
    </row>
    <row r="36" spans="1:5" x14ac:dyDescent="0.2">
      <c r="A36" s="2">
        <v>44961</v>
      </c>
      <c r="B36" t="s">
        <v>8</v>
      </c>
      <c r="C36">
        <v>3190</v>
      </c>
      <c r="D36" t="s">
        <v>12</v>
      </c>
      <c r="E36" t="s">
        <v>14</v>
      </c>
    </row>
    <row r="37" spans="1:5" x14ac:dyDescent="0.2">
      <c r="A37" s="2">
        <v>44962</v>
      </c>
      <c r="B37" t="s">
        <v>7</v>
      </c>
      <c r="C37">
        <v>4340</v>
      </c>
      <c r="D37" t="s">
        <v>10</v>
      </c>
      <c r="E37" t="s">
        <v>14</v>
      </c>
    </row>
    <row r="38" spans="1:5" x14ac:dyDescent="0.2">
      <c r="A38" s="2">
        <v>44963</v>
      </c>
      <c r="B38" t="s">
        <v>6</v>
      </c>
      <c r="C38">
        <v>1528</v>
      </c>
      <c r="D38" t="s">
        <v>10</v>
      </c>
      <c r="E38" t="s">
        <v>14</v>
      </c>
    </row>
    <row r="39" spans="1:5" x14ac:dyDescent="0.2">
      <c r="A39" s="2">
        <v>44964</v>
      </c>
      <c r="B39" t="s">
        <v>7</v>
      </c>
      <c r="C39">
        <v>1002</v>
      </c>
      <c r="D39" t="s">
        <v>12</v>
      </c>
      <c r="E39" t="s">
        <v>14</v>
      </c>
    </row>
    <row r="40" spans="1:5" x14ac:dyDescent="0.2">
      <c r="A40" s="2">
        <v>44965</v>
      </c>
      <c r="B40" t="s">
        <v>7</v>
      </c>
      <c r="C40">
        <v>4993</v>
      </c>
      <c r="D40" t="s">
        <v>12</v>
      </c>
      <c r="E40" t="s">
        <v>13</v>
      </c>
    </row>
    <row r="41" spans="1:5" x14ac:dyDescent="0.2">
      <c r="A41" s="2">
        <v>44966</v>
      </c>
      <c r="B41" t="s">
        <v>5</v>
      </c>
      <c r="C41">
        <v>1370</v>
      </c>
      <c r="D41" t="s">
        <v>9</v>
      </c>
      <c r="E41" t="s">
        <v>16</v>
      </c>
    </row>
    <row r="42" spans="1:5" x14ac:dyDescent="0.2">
      <c r="A42" s="2">
        <v>44967</v>
      </c>
      <c r="B42" t="s">
        <v>5</v>
      </c>
      <c r="C42">
        <v>4988</v>
      </c>
      <c r="D42" t="s">
        <v>11</v>
      </c>
      <c r="E42" t="s">
        <v>14</v>
      </c>
    </row>
    <row r="43" spans="1:5" x14ac:dyDescent="0.2">
      <c r="A43" s="2">
        <v>44968</v>
      </c>
      <c r="B43" t="s">
        <v>5</v>
      </c>
      <c r="C43">
        <v>706</v>
      </c>
      <c r="D43" t="s">
        <v>12</v>
      </c>
      <c r="E43" t="s">
        <v>15</v>
      </c>
    </row>
    <row r="44" spans="1:5" x14ac:dyDescent="0.2">
      <c r="A44" s="2">
        <v>44969</v>
      </c>
      <c r="B44" t="s">
        <v>8</v>
      </c>
      <c r="C44">
        <v>1984</v>
      </c>
      <c r="D44" t="s">
        <v>10</v>
      </c>
      <c r="E44" t="s">
        <v>16</v>
      </c>
    </row>
    <row r="45" spans="1:5" x14ac:dyDescent="0.2">
      <c r="A45" s="2">
        <v>44970</v>
      </c>
      <c r="B45" t="s">
        <v>6</v>
      </c>
      <c r="C45">
        <v>1363</v>
      </c>
      <c r="D45" t="s">
        <v>9</v>
      </c>
      <c r="E45" t="s">
        <v>16</v>
      </c>
    </row>
    <row r="46" spans="1:5" x14ac:dyDescent="0.2">
      <c r="A46" s="2">
        <v>44971</v>
      </c>
      <c r="B46" t="s">
        <v>6</v>
      </c>
      <c r="C46">
        <v>3290</v>
      </c>
      <c r="D46" t="s">
        <v>12</v>
      </c>
      <c r="E46" t="s">
        <v>14</v>
      </c>
    </row>
    <row r="47" spans="1:5" x14ac:dyDescent="0.2">
      <c r="A47" s="2">
        <v>44972</v>
      </c>
      <c r="B47" t="s">
        <v>6</v>
      </c>
      <c r="C47">
        <v>1063</v>
      </c>
      <c r="D47" t="s">
        <v>10</v>
      </c>
      <c r="E47" t="s">
        <v>13</v>
      </c>
    </row>
    <row r="48" spans="1:5" x14ac:dyDescent="0.2">
      <c r="A48" s="2">
        <v>44973</v>
      </c>
      <c r="B48" t="s">
        <v>6</v>
      </c>
      <c r="C48">
        <v>4691</v>
      </c>
      <c r="D48" t="s">
        <v>10</v>
      </c>
      <c r="E48" t="s">
        <v>14</v>
      </c>
    </row>
    <row r="49" spans="1:5" x14ac:dyDescent="0.2">
      <c r="A49" s="2">
        <v>44974</v>
      </c>
      <c r="B49" t="s">
        <v>5</v>
      </c>
      <c r="C49">
        <v>2257</v>
      </c>
      <c r="D49" t="s">
        <v>11</v>
      </c>
      <c r="E49" t="s">
        <v>13</v>
      </c>
    </row>
    <row r="50" spans="1:5" x14ac:dyDescent="0.2">
      <c r="A50" s="2">
        <v>44975</v>
      </c>
      <c r="B50" t="s">
        <v>8</v>
      </c>
      <c r="C50">
        <v>2178</v>
      </c>
      <c r="D50" t="s">
        <v>9</v>
      </c>
      <c r="E50" t="s">
        <v>15</v>
      </c>
    </row>
    <row r="51" spans="1:5" x14ac:dyDescent="0.2">
      <c r="A51" s="2">
        <v>44976</v>
      </c>
      <c r="B51" t="s">
        <v>8</v>
      </c>
      <c r="C51">
        <v>3742</v>
      </c>
      <c r="D51" t="s">
        <v>9</v>
      </c>
      <c r="E51" t="s">
        <v>16</v>
      </c>
    </row>
    <row r="52" spans="1:5" x14ac:dyDescent="0.2">
      <c r="A52" s="2">
        <v>44977</v>
      </c>
      <c r="B52" t="s">
        <v>5</v>
      </c>
      <c r="C52">
        <v>1559</v>
      </c>
      <c r="D52" t="s">
        <v>11</v>
      </c>
      <c r="E52" t="s">
        <v>15</v>
      </c>
    </row>
    <row r="53" spans="1:5" x14ac:dyDescent="0.2">
      <c r="A53" s="2">
        <v>44978</v>
      </c>
      <c r="B53" t="s">
        <v>8</v>
      </c>
      <c r="C53">
        <v>2222</v>
      </c>
      <c r="D53" t="s">
        <v>11</v>
      </c>
      <c r="E53" t="s">
        <v>13</v>
      </c>
    </row>
    <row r="54" spans="1:5" x14ac:dyDescent="0.2">
      <c r="A54" s="2">
        <v>44979</v>
      </c>
      <c r="B54" t="s">
        <v>5</v>
      </c>
      <c r="C54">
        <v>3814</v>
      </c>
      <c r="D54" t="s">
        <v>9</v>
      </c>
      <c r="E54" t="s">
        <v>13</v>
      </c>
    </row>
    <row r="55" spans="1:5" x14ac:dyDescent="0.2">
      <c r="A55" s="2">
        <v>44980</v>
      </c>
      <c r="B55" t="s">
        <v>6</v>
      </c>
      <c r="C55">
        <v>3657</v>
      </c>
      <c r="D55" t="s">
        <v>9</v>
      </c>
      <c r="E55" t="s">
        <v>15</v>
      </c>
    </row>
    <row r="56" spans="1:5" x14ac:dyDescent="0.2">
      <c r="A56" s="2">
        <v>44981</v>
      </c>
      <c r="B56" t="s">
        <v>5</v>
      </c>
      <c r="C56">
        <v>3125</v>
      </c>
      <c r="D56" t="s">
        <v>12</v>
      </c>
      <c r="E56" t="s">
        <v>13</v>
      </c>
    </row>
    <row r="57" spans="1:5" x14ac:dyDescent="0.2">
      <c r="A57" s="2">
        <v>44982</v>
      </c>
      <c r="B57" t="s">
        <v>6</v>
      </c>
      <c r="C57">
        <v>3229</v>
      </c>
      <c r="D57" t="s">
        <v>12</v>
      </c>
      <c r="E57" t="s">
        <v>15</v>
      </c>
    </row>
    <row r="58" spans="1:5" x14ac:dyDescent="0.2">
      <c r="A58" s="2">
        <v>44983</v>
      </c>
      <c r="B58" t="s">
        <v>6</v>
      </c>
      <c r="C58">
        <v>2097</v>
      </c>
      <c r="D58" t="s">
        <v>11</v>
      </c>
      <c r="E58" t="s">
        <v>16</v>
      </c>
    </row>
    <row r="59" spans="1:5" x14ac:dyDescent="0.2">
      <c r="A59" s="2">
        <v>44984</v>
      </c>
      <c r="B59" t="s">
        <v>7</v>
      </c>
      <c r="C59">
        <v>3560</v>
      </c>
      <c r="D59" t="s">
        <v>12</v>
      </c>
      <c r="E59" t="s">
        <v>15</v>
      </c>
    </row>
    <row r="60" spans="1:5" x14ac:dyDescent="0.2">
      <c r="A60" s="2">
        <v>44985</v>
      </c>
      <c r="B60" t="s">
        <v>5</v>
      </c>
      <c r="C60">
        <v>3193</v>
      </c>
      <c r="D60" t="s">
        <v>10</v>
      </c>
      <c r="E60" t="s">
        <v>16</v>
      </c>
    </row>
    <row r="61" spans="1:5" x14ac:dyDescent="0.2">
      <c r="A61" s="2">
        <v>44986</v>
      </c>
      <c r="B61" t="s">
        <v>7</v>
      </c>
      <c r="C61">
        <v>4127</v>
      </c>
      <c r="D61" t="s">
        <v>12</v>
      </c>
      <c r="E61" t="s">
        <v>15</v>
      </c>
    </row>
    <row r="62" spans="1:5" x14ac:dyDescent="0.2">
      <c r="A62" s="2">
        <v>44987</v>
      </c>
      <c r="B62" t="s">
        <v>5</v>
      </c>
      <c r="C62">
        <v>1863</v>
      </c>
      <c r="D62" t="s">
        <v>12</v>
      </c>
      <c r="E62" t="s">
        <v>13</v>
      </c>
    </row>
    <row r="63" spans="1:5" x14ac:dyDescent="0.2">
      <c r="A63" s="2">
        <v>44988</v>
      </c>
      <c r="B63" t="s">
        <v>5</v>
      </c>
      <c r="C63">
        <v>2481</v>
      </c>
      <c r="D63" t="s">
        <v>10</v>
      </c>
      <c r="E63" t="s">
        <v>15</v>
      </c>
    </row>
    <row r="64" spans="1:5" x14ac:dyDescent="0.2">
      <c r="A64" s="2">
        <v>44989</v>
      </c>
      <c r="B64" t="s">
        <v>7</v>
      </c>
      <c r="C64">
        <v>2163</v>
      </c>
      <c r="D64" t="s">
        <v>11</v>
      </c>
      <c r="E64" t="s">
        <v>13</v>
      </c>
    </row>
    <row r="65" spans="1:5" x14ac:dyDescent="0.2">
      <c r="A65" s="2">
        <v>44990</v>
      </c>
      <c r="B65" t="s">
        <v>7</v>
      </c>
      <c r="C65">
        <v>2029</v>
      </c>
      <c r="D65" t="s">
        <v>10</v>
      </c>
      <c r="E65" t="s">
        <v>15</v>
      </c>
    </row>
    <row r="66" spans="1:5" x14ac:dyDescent="0.2">
      <c r="A66" s="2">
        <v>44991</v>
      </c>
      <c r="B66" t="s">
        <v>5</v>
      </c>
      <c r="C66">
        <v>2538</v>
      </c>
      <c r="D66" t="s">
        <v>12</v>
      </c>
      <c r="E66" t="s">
        <v>15</v>
      </c>
    </row>
    <row r="67" spans="1:5" x14ac:dyDescent="0.2">
      <c r="A67" s="2">
        <v>44992</v>
      </c>
      <c r="B67" t="s">
        <v>8</v>
      </c>
      <c r="C67">
        <v>3802</v>
      </c>
      <c r="D67" t="s">
        <v>11</v>
      </c>
      <c r="E67" t="s">
        <v>14</v>
      </c>
    </row>
    <row r="68" spans="1:5" x14ac:dyDescent="0.2">
      <c r="A68" s="2">
        <v>44993</v>
      </c>
      <c r="B68" t="s">
        <v>6</v>
      </c>
      <c r="C68">
        <v>2737</v>
      </c>
      <c r="D68" t="s">
        <v>12</v>
      </c>
      <c r="E68" t="s">
        <v>13</v>
      </c>
    </row>
    <row r="69" spans="1:5" x14ac:dyDescent="0.2">
      <c r="A69" s="2">
        <v>44994</v>
      </c>
      <c r="B69" t="s">
        <v>7</v>
      </c>
      <c r="C69">
        <v>1806</v>
      </c>
      <c r="D69" t="s">
        <v>10</v>
      </c>
      <c r="E69" t="s">
        <v>14</v>
      </c>
    </row>
    <row r="70" spans="1:5" x14ac:dyDescent="0.2">
      <c r="A70" s="2">
        <v>44995</v>
      </c>
      <c r="B70" t="s">
        <v>6</v>
      </c>
      <c r="C70">
        <v>4529</v>
      </c>
      <c r="D70" t="s">
        <v>10</v>
      </c>
      <c r="E70" t="s">
        <v>13</v>
      </c>
    </row>
    <row r="71" spans="1:5" x14ac:dyDescent="0.2">
      <c r="A71" s="2">
        <v>44996</v>
      </c>
      <c r="B71" t="s">
        <v>8</v>
      </c>
      <c r="C71">
        <v>3175</v>
      </c>
      <c r="D71" t="s">
        <v>12</v>
      </c>
      <c r="E71" t="s">
        <v>14</v>
      </c>
    </row>
    <row r="72" spans="1:5" x14ac:dyDescent="0.2">
      <c r="A72" s="2">
        <v>44997</v>
      </c>
      <c r="B72" t="s">
        <v>8</v>
      </c>
      <c r="C72">
        <v>1782</v>
      </c>
      <c r="D72" t="s">
        <v>9</v>
      </c>
      <c r="E72" t="s">
        <v>16</v>
      </c>
    </row>
    <row r="73" spans="1:5" x14ac:dyDescent="0.2">
      <c r="A73" s="2">
        <v>44998</v>
      </c>
      <c r="B73" t="s">
        <v>8</v>
      </c>
      <c r="C73">
        <v>1209</v>
      </c>
      <c r="D73" t="s">
        <v>9</v>
      </c>
      <c r="E73" t="s">
        <v>15</v>
      </c>
    </row>
    <row r="74" spans="1:5" x14ac:dyDescent="0.2">
      <c r="A74" s="2">
        <v>44999</v>
      </c>
      <c r="B74" t="s">
        <v>7</v>
      </c>
      <c r="C74">
        <v>4913</v>
      </c>
      <c r="D74" t="s">
        <v>10</v>
      </c>
      <c r="E74" t="s">
        <v>13</v>
      </c>
    </row>
    <row r="75" spans="1:5" x14ac:dyDescent="0.2">
      <c r="A75" s="2">
        <v>45000</v>
      </c>
      <c r="B75" t="s">
        <v>8</v>
      </c>
      <c r="C75">
        <v>4248</v>
      </c>
      <c r="D75" t="s">
        <v>10</v>
      </c>
      <c r="E75" t="s">
        <v>13</v>
      </c>
    </row>
    <row r="76" spans="1:5" x14ac:dyDescent="0.2">
      <c r="A76" s="2">
        <v>45001</v>
      </c>
      <c r="B76" t="s">
        <v>7</v>
      </c>
      <c r="C76">
        <v>1163</v>
      </c>
      <c r="D76" t="s">
        <v>9</v>
      </c>
      <c r="E76" t="s">
        <v>15</v>
      </c>
    </row>
    <row r="77" spans="1:5" x14ac:dyDescent="0.2">
      <c r="A77" s="2">
        <v>45002</v>
      </c>
      <c r="B77" t="s">
        <v>8</v>
      </c>
      <c r="C77">
        <v>2498</v>
      </c>
      <c r="D77" t="s">
        <v>9</v>
      </c>
      <c r="E77" t="s">
        <v>13</v>
      </c>
    </row>
    <row r="78" spans="1:5" x14ac:dyDescent="0.2">
      <c r="A78" s="2">
        <v>45003</v>
      </c>
      <c r="B78" t="s">
        <v>6</v>
      </c>
      <c r="C78">
        <v>3945</v>
      </c>
      <c r="D78" t="s">
        <v>12</v>
      </c>
      <c r="E78" t="s">
        <v>13</v>
      </c>
    </row>
    <row r="79" spans="1:5" x14ac:dyDescent="0.2">
      <c r="A79" s="2">
        <v>45004</v>
      </c>
      <c r="B79" t="s">
        <v>6</v>
      </c>
      <c r="C79">
        <v>4243</v>
      </c>
      <c r="D79" t="s">
        <v>12</v>
      </c>
      <c r="E79" t="s">
        <v>14</v>
      </c>
    </row>
    <row r="80" spans="1:5" x14ac:dyDescent="0.2">
      <c r="A80" s="2">
        <v>45005</v>
      </c>
      <c r="B80" t="s">
        <v>5</v>
      </c>
      <c r="C80">
        <v>1995</v>
      </c>
      <c r="D80" t="s">
        <v>9</v>
      </c>
      <c r="E80" t="s">
        <v>13</v>
      </c>
    </row>
    <row r="81" spans="1:5" x14ac:dyDescent="0.2">
      <c r="A81" s="2">
        <v>45006</v>
      </c>
      <c r="B81" t="s">
        <v>6</v>
      </c>
      <c r="C81">
        <v>3804</v>
      </c>
      <c r="D81" t="s">
        <v>12</v>
      </c>
      <c r="E81" t="s">
        <v>16</v>
      </c>
    </row>
    <row r="82" spans="1:5" x14ac:dyDescent="0.2">
      <c r="A82" s="2">
        <v>45007</v>
      </c>
      <c r="B82" t="s">
        <v>5</v>
      </c>
      <c r="C82">
        <v>4263</v>
      </c>
      <c r="D82" t="s">
        <v>12</v>
      </c>
      <c r="E82" t="s">
        <v>16</v>
      </c>
    </row>
    <row r="83" spans="1:5" x14ac:dyDescent="0.2">
      <c r="A83" s="2">
        <v>45008</v>
      </c>
      <c r="B83" t="s">
        <v>6</v>
      </c>
      <c r="C83">
        <v>2353</v>
      </c>
      <c r="D83" t="s">
        <v>11</v>
      </c>
      <c r="E83" t="s">
        <v>15</v>
      </c>
    </row>
    <row r="84" spans="1:5" x14ac:dyDescent="0.2">
      <c r="A84" s="2">
        <v>45009</v>
      </c>
      <c r="B84" t="s">
        <v>7</v>
      </c>
      <c r="C84">
        <v>1791</v>
      </c>
      <c r="D84" t="s">
        <v>12</v>
      </c>
      <c r="E84" t="s">
        <v>13</v>
      </c>
    </row>
    <row r="85" spans="1:5" x14ac:dyDescent="0.2">
      <c r="A85" s="2">
        <v>45010</v>
      </c>
      <c r="B85" t="s">
        <v>6</v>
      </c>
      <c r="C85">
        <v>4081</v>
      </c>
      <c r="D85" t="s">
        <v>10</v>
      </c>
      <c r="E85" t="s">
        <v>15</v>
      </c>
    </row>
    <row r="86" spans="1:5" x14ac:dyDescent="0.2">
      <c r="A86" s="2">
        <v>45011</v>
      </c>
      <c r="B86" t="s">
        <v>5</v>
      </c>
      <c r="C86">
        <v>3957</v>
      </c>
      <c r="D86" t="s">
        <v>12</v>
      </c>
      <c r="E86" t="s">
        <v>16</v>
      </c>
    </row>
    <row r="87" spans="1:5" x14ac:dyDescent="0.2">
      <c r="A87" s="2">
        <v>45012</v>
      </c>
      <c r="B87" t="s">
        <v>5</v>
      </c>
      <c r="C87">
        <v>2136</v>
      </c>
      <c r="D87" t="s">
        <v>12</v>
      </c>
      <c r="E87" t="s">
        <v>13</v>
      </c>
    </row>
    <row r="88" spans="1:5" x14ac:dyDescent="0.2">
      <c r="A88" s="2">
        <v>45013</v>
      </c>
      <c r="B88" t="s">
        <v>8</v>
      </c>
      <c r="C88">
        <v>4196</v>
      </c>
      <c r="D88" t="s">
        <v>9</v>
      </c>
      <c r="E88" t="s">
        <v>13</v>
      </c>
    </row>
    <row r="89" spans="1:5" x14ac:dyDescent="0.2">
      <c r="A89" s="2">
        <v>45014</v>
      </c>
      <c r="B89" t="s">
        <v>7</v>
      </c>
      <c r="C89">
        <v>3499</v>
      </c>
      <c r="D89" t="s">
        <v>10</v>
      </c>
      <c r="E89" t="s">
        <v>15</v>
      </c>
    </row>
    <row r="90" spans="1:5" x14ac:dyDescent="0.2">
      <c r="A90" s="2">
        <v>45015</v>
      </c>
      <c r="B90" t="s">
        <v>6</v>
      </c>
      <c r="C90">
        <v>3652</v>
      </c>
      <c r="D90" t="s">
        <v>12</v>
      </c>
      <c r="E90" t="s">
        <v>16</v>
      </c>
    </row>
    <row r="91" spans="1:5" x14ac:dyDescent="0.2">
      <c r="A91" s="2">
        <v>45016</v>
      </c>
      <c r="B91" t="s">
        <v>8</v>
      </c>
      <c r="C91">
        <v>1198</v>
      </c>
      <c r="D91" t="s">
        <v>12</v>
      </c>
      <c r="E91" t="s">
        <v>13</v>
      </c>
    </row>
    <row r="92" spans="1:5" x14ac:dyDescent="0.2">
      <c r="A92" s="2">
        <v>45017</v>
      </c>
      <c r="B92" t="s">
        <v>6</v>
      </c>
      <c r="C92">
        <v>2660</v>
      </c>
      <c r="D92" t="s">
        <v>11</v>
      </c>
      <c r="E92" t="s">
        <v>15</v>
      </c>
    </row>
    <row r="93" spans="1:5" x14ac:dyDescent="0.2">
      <c r="A93" s="2">
        <v>45018</v>
      </c>
      <c r="B93" t="s">
        <v>6</v>
      </c>
      <c r="C93">
        <v>4597</v>
      </c>
      <c r="D93" t="s">
        <v>12</v>
      </c>
      <c r="E93" t="s">
        <v>16</v>
      </c>
    </row>
    <row r="94" spans="1:5" x14ac:dyDescent="0.2">
      <c r="A94" s="2">
        <v>45019</v>
      </c>
      <c r="B94" t="s">
        <v>8</v>
      </c>
      <c r="C94">
        <v>1354</v>
      </c>
      <c r="D94" t="s">
        <v>12</v>
      </c>
      <c r="E94" t="s">
        <v>15</v>
      </c>
    </row>
    <row r="95" spans="1:5" x14ac:dyDescent="0.2">
      <c r="A95" s="2">
        <v>45020</v>
      </c>
      <c r="B95" t="s">
        <v>8</v>
      </c>
      <c r="C95">
        <v>3974</v>
      </c>
      <c r="D95" t="s">
        <v>11</v>
      </c>
      <c r="E95" t="s">
        <v>14</v>
      </c>
    </row>
    <row r="96" spans="1:5" x14ac:dyDescent="0.2">
      <c r="A96" s="2">
        <v>45021</v>
      </c>
      <c r="B96" t="s">
        <v>8</v>
      </c>
      <c r="C96">
        <v>2207</v>
      </c>
      <c r="D96" t="s">
        <v>9</v>
      </c>
      <c r="E96" t="s">
        <v>13</v>
      </c>
    </row>
    <row r="97" spans="1:5" x14ac:dyDescent="0.2">
      <c r="A97" s="2">
        <v>45022</v>
      </c>
      <c r="B97" t="s">
        <v>8</v>
      </c>
      <c r="C97">
        <v>3277</v>
      </c>
      <c r="D97" t="s">
        <v>12</v>
      </c>
      <c r="E97" t="s">
        <v>14</v>
      </c>
    </row>
    <row r="98" spans="1:5" x14ac:dyDescent="0.2">
      <c r="A98" s="2">
        <v>45023</v>
      </c>
      <c r="B98" t="s">
        <v>8</v>
      </c>
      <c r="C98">
        <v>2233</v>
      </c>
      <c r="D98" t="s">
        <v>11</v>
      </c>
      <c r="E98" t="s">
        <v>16</v>
      </c>
    </row>
    <row r="99" spans="1:5" x14ac:dyDescent="0.2">
      <c r="A99" s="2">
        <v>45024</v>
      </c>
      <c r="B99" t="s">
        <v>6</v>
      </c>
      <c r="C99">
        <v>4010</v>
      </c>
      <c r="D99" t="s">
        <v>10</v>
      </c>
      <c r="E99" t="s">
        <v>14</v>
      </c>
    </row>
    <row r="100" spans="1:5" x14ac:dyDescent="0.2">
      <c r="A100" s="2">
        <v>45025</v>
      </c>
      <c r="B100" t="s">
        <v>8</v>
      </c>
      <c r="C100">
        <v>702</v>
      </c>
      <c r="D100" t="s">
        <v>9</v>
      </c>
      <c r="E100" t="s">
        <v>14</v>
      </c>
    </row>
    <row r="101" spans="1:5" x14ac:dyDescent="0.2">
      <c r="A101" s="2">
        <v>45026</v>
      </c>
      <c r="B101" t="s">
        <v>7</v>
      </c>
      <c r="C101">
        <v>3755</v>
      </c>
      <c r="D101" t="s">
        <v>10</v>
      </c>
      <c r="E10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6EA0-8A82-074E-9318-8323995D0C6B}">
  <dimension ref="A2:O27"/>
  <sheetViews>
    <sheetView workbookViewId="0">
      <selection activeCell="A3" sqref="A3:G27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6.1640625" bestFit="1" customWidth="1"/>
    <col min="4" max="4" width="7.1640625" bestFit="1" customWidth="1"/>
    <col min="5" max="5" width="6.1640625" bestFit="1" customWidth="1"/>
    <col min="6" max="6" width="6.33203125" bestFit="1" customWidth="1"/>
    <col min="7" max="7" width="10" bestFit="1" customWidth="1"/>
  </cols>
  <sheetData>
    <row r="2" spans="1:15" ht="20" x14ac:dyDescent="0.2">
      <c r="O2" s="3" t="s">
        <v>253</v>
      </c>
    </row>
    <row r="3" spans="1:15" x14ac:dyDescent="0.2">
      <c r="A3" s="5" t="s">
        <v>265</v>
      </c>
      <c r="B3" s="5" t="s">
        <v>266</v>
      </c>
    </row>
    <row r="4" spans="1:15" ht="20" x14ac:dyDescent="0.2">
      <c r="A4" s="5" t="s">
        <v>261</v>
      </c>
      <c r="B4" t="s">
        <v>10</v>
      </c>
      <c r="C4" t="s">
        <v>9</v>
      </c>
      <c r="D4" t="s">
        <v>12</v>
      </c>
      <c r="E4" t="s">
        <v>11</v>
      </c>
      <c r="F4" t="s">
        <v>263</v>
      </c>
      <c r="G4" t="s">
        <v>262</v>
      </c>
      <c r="O4" s="3" t="s">
        <v>254</v>
      </c>
    </row>
    <row r="5" spans="1:15" ht="20" x14ac:dyDescent="0.2">
      <c r="A5" s="6" t="s">
        <v>16</v>
      </c>
      <c r="B5">
        <v>8932</v>
      </c>
      <c r="C5">
        <v>13706</v>
      </c>
      <c r="D5">
        <v>32581</v>
      </c>
      <c r="E5">
        <v>5846</v>
      </c>
      <c r="G5">
        <v>61065</v>
      </c>
      <c r="O5" s="3" t="s">
        <v>255</v>
      </c>
    </row>
    <row r="6" spans="1:15" ht="20" x14ac:dyDescent="0.2">
      <c r="A6" s="7" t="s">
        <v>241</v>
      </c>
      <c r="C6">
        <v>5449</v>
      </c>
      <c r="D6">
        <v>9035</v>
      </c>
      <c r="E6">
        <v>1516</v>
      </c>
      <c r="G6">
        <v>16000</v>
      </c>
      <c r="O6" s="3" t="s">
        <v>256</v>
      </c>
    </row>
    <row r="7" spans="1:15" ht="20" x14ac:dyDescent="0.2">
      <c r="A7" s="7" t="s">
        <v>247</v>
      </c>
      <c r="B7">
        <v>5177</v>
      </c>
      <c r="C7">
        <v>6475</v>
      </c>
      <c r="D7">
        <v>3273</v>
      </c>
      <c r="E7">
        <v>2097</v>
      </c>
      <c r="G7">
        <v>17022</v>
      </c>
      <c r="O7" s="4" t="s">
        <v>257</v>
      </c>
    </row>
    <row r="8" spans="1:15" ht="20" x14ac:dyDescent="0.2">
      <c r="A8" s="7" t="s">
        <v>237</v>
      </c>
      <c r="C8">
        <v>1782</v>
      </c>
      <c r="D8">
        <v>15676</v>
      </c>
      <c r="G8">
        <v>17458</v>
      </c>
      <c r="O8" s="4" t="s">
        <v>258</v>
      </c>
    </row>
    <row r="9" spans="1:15" ht="20" x14ac:dyDescent="0.2">
      <c r="A9" s="7" t="s">
        <v>248</v>
      </c>
      <c r="B9">
        <v>3755</v>
      </c>
      <c r="D9">
        <v>4597</v>
      </c>
      <c r="E9">
        <v>2233</v>
      </c>
      <c r="G9">
        <v>10585</v>
      </c>
      <c r="O9" s="4" t="s">
        <v>259</v>
      </c>
    </row>
    <row r="10" spans="1:15" ht="20" x14ac:dyDescent="0.2">
      <c r="A10" s="6" t="s">
        <v>13</v>
      </c>
      <c r="B10">
        <v>17315</v>
      </c>
      <c r="C10">
        <v>20425</v>
      </c>
      <c r="D10">
        <v>23231</v>
      </c>
      <c r="E10">
        <v>8020</v>
      </c>
      <c r="G10">
        <v>68991</v>
      </c>
      <c r="O10" s="4" t="s">
        <v>260</v>
      </c>
    </row>
    <row r="11" spans="1:15" x14ac:dyDescent="0.2">
      <c r="A11" s="7" t="s">
        <v>241</v>
      </c>
      <c r="B11">
        <v>2562</v>
      </c>
      <c r="C11">
        <v>5715</v>
      </c>
      <c r="D11">
        <v>1443</v>
      </c>
      <c r="E11">
        <v>1378</v>
      </c>
      <c r="G11">
        <v>11098</v>
      </c>
    </row>
    <row r="12" spans="1:15" x14ac:dyDescent="0.2">
      <c r="A12" s="7" t="s">
        <v>247</v>
      </c>
      <c r="B12">
        <v>1063</v>
      </c>
      <c r="C12">
        <v>3814</v>
      </c>
      <c r="D12">
        <v>8118</v>
      </c>
      <c r="E12">
        <v>4479</v>
      </c>
      <c r="G12">
        <v>17474</v>
      </c>
    </row>
    <row r="13" spans="1:15" x14ac:dyDescent="0.2">
      <c r="A13" s="7" t="s">
        <v>237</v>
      </c>
      <c r="B13">
        <v>13690</v>
      </c>
      <c r="C13">
        <v>8689</v>
      </c>
      <c r="D13">
        <v>13670</v>
      </c>
      <c r="E13">
        <v>2163</v>
      </c>
      <c r="G13">
        <v>38212</v>
      </c>
    </row>
    <row r="14" spans="1:15" x14ac:dyDescent="0.2">
      <c r="A14" s="7" t="s">
        <v>248</v>
      </c>
      <c r="C14">
        <v>2207</v>
      </c>
      <c r="G14">
        <v>2207</v>
      </c>
    </row>
    <row r="15" spans="1:15" x14ac:dyDescent="0.2">
      <c r="A15" s="6" t="s">
        <v>14</v>
      </c>
      <c r="B15">
        <v>29854</v>
      </c>
      <c r="C15">
        <v>2772</v>
      </c>
      <c r="D15">
        <v>27025</v>
      </c>
      <c r="E15">
        <v>14259</v>
      </c>
      <c r="G15">
        <v>73910</v>
      </c>
    </row>
    <row r="16" spans="1:15" x14ac:dyDescent="0.2">
      <c r="A16" s="7" t="s">
        <v>241</v>
      </c>
      <c r="B16">
        <v>13479</v>
      </c>
      <c r="D16">
        <v>5617</v>
      </c>
      <c r="E16">
        <v>1495</v>
      </c>
      <c r="G16">
        <v>20591</v>
      </c>
    </row>
    <row r="17" spans="1:7" x14ac:dyDescent="0.2">
      <c r="A17" s="7" t="s">
        <v>247</v>
      </c>
      <c r="B17">
        <v>10559</v>
      </c>
      <c r="C17">
        <v>2070</v>
      </c>
      <c r="D17">
        <v>10713</v>
      </c>
      <c r="E17">
        <v>4988</v>
      </c>
      <c r="G17">
        <v>28330</v>
      </c>
    </row>
    <row r="18" spans="1:7" x14ac:dyDescent="0.2">
      <c r="A18" s="7" t="s">
        <v>237</v>
      </c>
      <c r="B18">
        <v>1806</v>
      </c>
      <c r="D18">
        <v>7418</v>
      </c>
      <c r="E18">
        <v>3802</v>
      </c>
      <c r="G18">
        <v>13026</v>
      </c>
    </row>
    <row r="19" spans="1:7" x14ac:dyDescent="0.2">
      <c r="A19" s="7" t="s">
        <v>248</v>
      </c>
      <c r="B19">
        <v>4010</v>
      </c>
      <c r="C19">
        <v>702</v>
      </c>
      <c r="D19">
        <v>3277</v>
      </c>
      <c r="E19">
        <v>3974</v>
      </c>
      <c r="G19">
        <v>11963</v>
      </c>
    </row>
    <row r="20" spans="1:7" x14ac:dyDescent="0.2">
      <c r="A20" s="6" t="s">
        <v>15</v>
      </c>
      <c r="B20">
        <v>14085</v>
      </c>
      <c r="C20">
        <v>22094</v>
      </c>
      <c r="D20">
        <v>23300</v>
      </c>
      <c r="E20">
        <v>13540</v>
      </c>
      <c r="G20">
        <v>73019</v>
      </c>
    </row>
    <row r="21" spans="1:7" x14ac:dyDescent="0.2">
      <c r="A21" s="7" t="s">
        <v>241</v>
      </c>
      <c r="B21">
        <v>1995</v>
      </c>
      <c r="C21">
        <v>13887</v>
      </c>
      <c r="D21">
        <v>7786</v>
      </c>
      <c r="E21">
        <v>6968</v>
      </c>
      <c r="G21">
        <v>30636</v>
      </c>
    </row>
    <row r="22" spans="1:7" x14ac:dyDescent="0.2">
      <c r="A22" s="7" t="s">
        <v>247</v>
      </c>
      <c r="C22">
        <v>5835</v>
      </c>
      <c r="D22">
        <v>7495</v>
      </c>
      <c r="E22">
        <v>1559</v>
      </c>
      <c r="G22">
        <v>14889</v>
      </c>
    </row>
    <row r="23" spans="1:7" x14ac:dyDescent="0.2">
      <c r="A23" s="7" t="s">
        <v>237</v>
      </c>
      <c r="B23">
        <v>12090</v>
      </c>
      <c r="C23">
        <v>2372</v>
      </c>
      <c r="D23">
        <v>6665</v>
      </c>
      <c r="E23">
        <v>2353</v>
      </c>
      <c r="G23">
        <v>23480</v>
      </c>
    </row>
    <row r="24" spans="1:7" x14ac:dyDescent="0.2">
      <c r="A24" s="7" t="s">
        <v>248</v>
      </c>
      <c r="D24">
        <v>1354</v>
      </c>
      <c r="E24">
        <v>2660</v>
      </c>
      <c r="G24">
        <v>4014</v>
      </c>
    </row>
    <row r="25" spans="1:7" x14ac:dyDescent="0.2">
      <c r="A25" s="6" t="s">
        <v>263</v>
      </c>
    </row>
    <row r="26" spans="1:7" x14ac:dyDescent="0.2">
      <c r="A26" s="7" t="s">
        <v>264</v>
      </c>
    </row>
    <row r="27" spans="1:7" x14ac:dyDescent="0.2">
      <c r="A27" s="6" t="s">
        <v>262</v>
      </c>
      <c r="B27">
        <v>70186</v>
      </c>
      <c r="C27">
        <v>58997</v>
      </c>
      <c r="D27">
        <v>106137</v>
      </c>
      <c r="E27">
        <v>41665</v>
      </c>
      <c r="G27">
        <v>276985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F1" sqref="F1:H2"/>
    </sheetView>
  </sheetViews>
  <sheetFormatPr baseColWidth="10" defaultColWidth="8.83203125" defaultRowHeight="15" x14ac:dyDescent="0.2"/>
  <cols>
    <col min="1" max="1" width="13.83203125" customWidth="1"/>
    <col min="2" max="3" width="19.33203125" customWidth="1"/>
    <col min="4" max="4" width="12.1640625" customWidth="1"/>
    <col min="5" max="5" width="13.83203125" customWidth="1"/>
  </cols>
  <sheetData>
    <row r="1" spans="1:7" x14ac:dyDescent="0.2">
      <c r="A1" s="1" t="s">
        <v>17</v>
      </c>
      <c r="B1" s="1" t="s">
        <v>18</v>
      </c>
      <c r="C1" s="1" t="s">
        <v>2</v>
      </c>
      <c r="D1" s="1" t="s">
        <v>19</v>
      </c>
      <c r="E1" s="1" t="s">
        <v>20</v>
      </c>
      <c r="G1" s="10"/>
    </row>
    <row r="2" spans="1:7" x14ac:dyDescent="0.2">
      <c r="A2">
        <v>101</v>
      </c>
      <c r="B2">
        <v>37</v>
      </c>
      <c r="C2">
        <v>33289</v>
      </c>
      <c r="D2">
        <v>16174</v>
      </c>
      <c r="E2" t="s">
        <v>21</v>
      </c>
    </row>
    <row r="3" spans="1:7" x14ac:dyDescent="0.2">
      <c r="A3">
        <v>102</v>
      </c>
      <c r="B3">
        <v>43</v>
      </c>
      <c r="C3">
        <v>45257</v>
      </c>
      <c r="D3">
        <v>9729</v>
      </c>
      <c r="E3" t="s">
        <v>22</v>
      </c>
    </row>
    <row r="4" spans="1:7" x14ac:dyDescent="0.2">
      <c r="A4">
        <v>103</v>
      </c>
      <c r="B4">
        <v>47</v>
      </c>
      <c r="C4">
        <v>19823</v>
      </c>
      <c r="D4">
        <v>14348</v>
      </c>
      <c r="E4" t="s">
        <v>23</v>
      </c>
    </row>
    <row r="5" spans="1:7" x14ac:dyDescent="0.2">
      <c r="A5">
        <v>104</v>
      </c>
      <c r="B5">
        <v>44</v>
      </c>
      <c r="C5">
        <v>19540</v>
      </c>
      <c r="D5">
        <v>10334</v>
      </c>
      <c r="E5" t="s">
        <v>21</v>
      </c>
    </row>
    <row r="6" spans="1:7" x14ac:dyDescent="0.2">
      <c r="A6">
        <v>105</v>
      </c>
      <c r="B6">
        <v>31</v>
      </c>
      <c r="C6">
        <v>26364</v>
      </c>
      <c r="D6">
        <v>13924</v>
      </c>
      <c r="E6" t="s">
        <v>23</v>
      </c>
    </row>
    <row r="7" spans="1:7" x14ac:dyDescent="0.2">
      <c r="A7">
        <v>106</v>
      </c>
      <c r="B7">
        <v>39</v>
      </c>
      <c r="C7">
        <v>14611</v>
      </c>
      <c r="D7">
        <v>9330</v>
      </c>
      <c r="E7" t="s">
        <v>2</v>
      </c>
    </row>
    <row r="8" spans="1:7" x14ac:dyDescent="0.2">
      <c r="A8">
        <v>107</v>
      </c>
      <c r="B8">
        <v>31</v>
      </c>
      <c r="C8">
        <v>37663</v>
      </c>
      <c r="D8">
        <v>11801</v>
      </c>
      <c r="E8" t="s">
        <v>2</v>
      </c>
    </row>
    <row r="9" spans="1:7" x14ac:dyDescent="0.2">
      <c r="A9">
        <v>108</v>
      </c>
      <c r="B9">
        <v>46</v>
      </c>
      <c r="C9">
        <v>48646</v>
      </c>
      <c r="D9">
        <v>9846</v>
      </c>
      <c r="E9" t="s">
        <v>22</v>
      </c>
    </row>
    <row r="10" spans="1:7" x14ac:dyDescent="0.2">
      <c r="A10">
        <v>109</v>
      </c>
      <c r="B10">
        <v>37</v>
      </c>
      <c r="C10">
        <v>40977</v>
      </c>
      <c r="D10">
        <v>11731</v>
      </c>
      <c r="E10" t="s">
        <v>2</v>
      </c>
    </row>
    <row r="11" spans="1:7" x14ac:dyDescent="0.2">
      <c r="A11">
        <v>110</v>
      </c>
      <c r="B11">
        <v>30</v>
      </c>
      <c r="C11">
        <v>39168</v>
      </c>
      <c r="D11">
        <v>20368</v>
      </c>
      <c r="E11" t="s">
        <v>2</v>
      </c>
    </row>
    <row r="12" spans="1:7" x14ac:dyDescent="0.2">
      <c r="A12">
        <v>111</v>
      </c>
      <c r="B12">
        <v>38</v>
      </c>
      <c r="C12">
        <v>35471</v>
      </c>
      <c r="D12">
        <v>22337</v>
      </c>
      <c r="E12" t="s">
        <v>21</v>
      </c>
    </row>
    <row r="13" spans="1:7" x14ac:dyDescent="0.2">
      <c r="A13">
        <v>112</v>
      </c>
      <c r="B13">
        <v>40</v>
      </c>
      <c r="C13">
        <v>32687</v>
      </c>
      <c r="D13">
        <v>7539</v>
      </c>
      <c r="E13" t="s">
        <v>23</v>
      </c>
    </row>
    <row r="14" spans="1:7" x14ac:dyDescent="0.2">
      <c r="A14">
        <v>113</v>
      </c>
      <c r="B14">
        <v>45</v>
      </c>
      <c r="C14">
        <v>10851</v>
      </c>
      <c r="D14">
        <v>12056</v>
      </c>
      <c r="E14" t="s">
        <v>23</v>
      </c>
    </row>
    <row r="15" spans="1:7" x14ac:dyDescent="0.2">
      <c r="A15">
        <v>114</v>
      </c>
      <c r="B15">
        <v>36</v>
      </c>
      <c r="C15">
        <v>28071</v>
      </c>
      <c r="D15">
        <v>16516</v>
      </c>
      <c r="E15" t="s">
        <v>21</v>
      </c>
    </row>
    <row r="16" spans="1:7" x14ac:dyDescent="0.2">
      <c r="A16">
        <v>115</v>
      </c>
      <c r="B16">
        <v>39</v>
      </c>
      <c r="C16">
        <v>16833</v>
      </c>
      <c r="D16">
        <v>16493</v>
      </c>
      <c r="E16" t="s">
        <v>22</v>
      </c>
    </row>
    <row r="17" spans="1:5" x14ac:dyDescent="0.2">
      <c r="A17">
        <v>116</v>
      </c>
      <c r="B17">
        <v>32</v>
      </c>
      <c r="C17">
        <v>21938</v>
      </c>
      <c r="D17">
        <v>6542</v>
      </c>
      <c r="E17" t="s">
        <v>23</v>
      </c>
    </row>
    <row r="18" spans="1:5" x14ac:dyDescent="0.2">
      <c r="A18">
        <v>117</v>
      </c>
      <c r="B18">
        <v>47</v>
      </c>
      <c r="C18">
        <v>45195</v>
      </c>
      <c r="D18">
        <v>18964</v>
      </c>
      <c r="E18" t="s">
        <v>2</v>
      </c>
    </row>
    <row r="19" spans="1:5" x14ac:dyDescent="0.2">
      <c r="A19">
        <v>118</v>
      </c>
      <c r="B19">
        <v>42</v>
      </c>
      <c r="C19">
        <v>36144</v>
      </c>
      <c r="D19">
        <v>22575</v>
      </c>
      <c r="E19" t="s">
        <v>23</v>
      </c>
    </row>
    <row r="20" spans="1:5" x14ac:dyDescent="0.2">
      <c r="A20">
        <v>119</v>
      </c>
      <c r="B20">
        <v>36</v>
      </c>
      <c r="C20">
        <v>14000</v>
      </c>
      <c r="D20">
        <v>11313</v>
      </c>
      <c r="E20" t="s">
        <v>2</v>
      </c>
    </row>
    <row r="21" spans="1:5" x14ac:dyDescent="0.2">
      <c r="A21">
        <v>120</v>
      </c>
      <c r="B21">
        <v>33</v>
      </c>
      <c r="C21">
        <v>15052</v>
      </c>
      <c r="D21">
        <v>24065</v>
      </c>
      <c r="E21" t="s">
        <v>22</v>
      </c>
    </row>
    <row r="22" spans="1:5" x14ac:dyDescent="0.2">
      <c r="A22">
        <v>121</v>
      </c>
      <c r="B22">
        <v>42</v>
      </c>
      <c r="C22">
        <v>45506</v>
      </c>
      <c r="D22">
        <v>22924</v>
      </c>
      <c r="E22" t="s">
        <v>21</v>
      </c>
    </row>
    <row r="23" spans="1:5" x14ac:dyDescent="0.2">
      <c r="A23">
        <v>122</v>
      </c>
      <c r="B23">
        <v>49</v>
      </c>
      <c r="C23">
        <v>38074</v>
      </c>
      <c r="D23">
        <v>18807</v>
      </c>
      <c r="E23" t="s">
        <v>23</v>
      </c>
    </row>
    <row r="24" spans="1:5" x14ac:dyDescent="0.2">
      <c r="A24">
        <v>123</v>
      </c>
      <c r="B24">
        <v>30</v>
      </c>
      <c r="C24">
        <v>48155</v>
      </c>
      <c r="D24">
        <v>14580</v>
      </c>
      <c r="E24" t="s">
        <v>21</v>
      </c>
    </row>
    <row r="25" spans="1:5" x14ac:dyDescent="0.2">
      <c r="A25">
        <v>124</v>
      </c>
      <c r="B25">
        <v>37</v>
      </c>
      <c r="C25">
        <v>42320</v>
      </c>
      <c r="D25">
        <v>22749</v>
      </c>
      <c r="E25" t="s">
        <v>23</v>
      </c>
    </row>
    <row r="26" spans="1:5" x14ac:dyDescent="0.2">
      <c r="A26">
        <v>125</v>
      </c>
      <c r="B26">
        <v>43</v>
      </c>
      <c r="C26">
        <v>48304</v>
      </c>
      <c r="D26">
        <v>13691</v>
      </c>
      <c r="E26" t="s">
        <v>2</v>
      </c>
    </row>
    <row r="27" spans="1:5" x14ac:dyDescent="0.2">
      <c r="A27">
        <v>126</v>
      </c>
      <c r="B27">
        <v>45</v>
      </c>
      <c r="C27">
        <v>13913</v>
      </c>
      <c r="D27">
        <v>12494</v>
      </c>
      <c r="E27" t="s">
        <v>21</v>
      </c>
    </row>
    <row r="28" spans="1:5" x14ac:dyDescent="0.2">
      <c r="A28">
        <v>127</v>
      </c>
      <c r="B28">
        <v>43</v>
      </c>
      <c r="C28">
        <v>27450</v>
      </c>
      <c r="D28">
        <v>9312</v>
      </c>
      <c r="E28" t="s">
        <v>23</v>
      </c>
    </row>
    <row r="29" spans="1:5" x14ac:dyDescent="0.2">
      <c r="A29">
        <v>128</v>
      </c>
      <c r="B29">
        <v>41</v>
      </c>
      <c r="C29">
        <v>34107</v>
      </c>
      <c r="D29">
        <v>6324</v>
      </c>
      <c r="E29" t="s">
        <v>2</v>
      </c>
    </row>
    <row r="30" spans="1:5" x14ac:dyDescent="0.2">
      <c r="A30">
        <v>129</v>
      </c>
      <c r="B30">
        <v>48</v>
      </c>
      <c r="C30">
        <v>30764</v>
      </c>
      <c r="D30">
        <v>8141</v>
      </c>
      <c r="E30" t="s">
        <v>21</v>
      </c>
    </row>
    <row r="31" spans="1:5" x14ac:dyDescent="0.2">
      <c r="A31">
        <v>130</v>
      </c>
      <c r="B31">
        <v>44</v>
      </c>
      <c r="C31">
        <v>30491</v>
      </c>
      <c r="D31">
        <v>24870</v>
      </c>
      <c r="E31" t="s">
        <v>21</v>
      </c>
    </row>
    <row r="32" spans="1:5" x14ac:dyDescent="0.2">
      <c r="A32">
        <v>131</v>
      </c>
      <c r="B32">
        <v>31</v>
      </c>
      <c r="C32">
        <v>48494</v>
      </c>
      <c r="D32">
        <v>6810</v>
      </c>
      <c r="E32" t="s">
        <v>23</v>
      </c>
    </row>
    <row r="33" spans="1:5" x14ac:dyDescent="0.2">
      <c r="A33">
        <v>132</v>
      </c>
      <c r="B33">
        <v>31</v>
      </c>
      <c r="C33">
        <v>13373</v>
      </c>
      <c r="D33">
        <v>11588</v>
      </c>
      <c r="E33" t="s">
        <v>23</v>
      </c>
    </row>
    <row r="34" spans="1:5" x14ac:dyDescent="0.2">
      <c r="A34">
        <v>133</v>
      </c>
      <c r="B34">
        <v>48</v>
      </c>
      <c r="C34">
        <v>22161</v>
      </c>
      <c r="D34">
        <v>24307</v>
      </c>
      <c r="E34" t="s">
        <v>23</v>
      </c>
    </row>
    <row r="35" spans="1:5" x14ac:dyDescent="0.2">
      <c r="A35">
        <v>134</v>
      </c>
      <c r="B35">
        <v>46</v>
      </c>
      <c r="C35">
        <v>41996</v>
      </c>
      <c r="D35">
        <v>10301</v>
      </c>
      <c r="E35" t="s">
        <v>2</v>
      </c>
    </row>
    <row r="36" spans="1:5" x14ac:dyDescent="0.2">
      <c r="A36">
        <v>135</v>
      </c>
      <c r="B36">
        <v>49</v>
      </c>
      <c r="C36">
        <v>37122</v>
      </c>
      <c r="D36">
        <v>20485</v>
      </c>
      <c r="E36" t="s">
        <v>23</v>
      </c>
    </row>
    <row r="37" spans="1:5" x14ac:dyDescent="0.2">
      <c r="A37">
        <v>136</v>
      </c>
      <c r="B37">
        <v>39</v>
      </c>
      <c r="C37">
        <v>44850</v>
      </c>
      <c r="D37">
        <v>16714</v>
      </c>
      <c r="E37" t="s">
        <v>21</v>
      </c>
    </row>
    <row r="38" spans="1:5" x14ac:dyDescent="0.2">
      <c r="A38">
        <v>137</v>
      </c>
      <c r="B38">
        <v>35</v>
      </c>
      <c r="C38">
        <v>37350</v>
      </c>
      <c r="D38">
        <v>9748</v>
      </c>
      <c r="E38" t="s">
        <v>21</v>
      </c>
    </row>
    <row r="39" spans="1:5" x14ac:dyDescent="0.2">
      <c r="A39">
        <v>138</v>
      </c>
      <c r="B39">
        <v>44</v>
      </c>
      <c r="C39">
        <v>37472</v>
      </c>
      <c r="D39">
        <v>14435</v>
      </c>
      <c r="E39" t="s">
        <v>23</v>
      </c>
    </row>
    <row r="40" spans="1:5" x14ac:dyDescent="0.2">
      <c r="A40">
        <v>139</v>
      </c>
      <c r="B40">
        <v>40</v>
      </c>
      <c r="C40">
        <v>38761</v>
      </c>
      <c r="D40">
        <v>8709</v>
      </c>
      <c r="E40" t="s">
        <v>23</v>
      </c>
    </row>
    <row r="41" spans="1:5" x14ac:dyDescent="0.2">
      <c r="A41">
        <v>140</v>
      </c>
      <c r="B41">
        <v>34</v>
      </c>
      <c r="C41">
        <v>35351</v>
      </c>
      <c r="D41">
        <v>18116</v>
      </c>
      <c r="E41" t="s">
        <v>22</v>
      </c>
    </row>
    <row r="42" spans="1:5" x14ac:dyDescent="0.2">
      <c r="A42">
        <v>141</v>
      </c>
      <c r="B42">
        <v>30</v>
      </c>
      <c r="C42">
        <v>33132</v>
      </c>
      <c r="D42">
        <v>14576</v>
      </c>
      <c r="E42" t="s">
        <v>21</v>
      </c>
    </row>
    <row r="43" spans="1:5" x14ac:dyDescent="0.2">
      <c r="A43">
        <v>142</v>
      </c>
      <c r="B43">
        <v>37</v>
      </c>
      <c r="C43">
        <v>25305</v>
      </c>
      <c r="D43">
        <v>15150</v>
      </c>
      <c r="E43" t="s">
        <v>2</v>
      </c>
    </row>
    <row r="44" spans="1:5" x14ac:dyDescent="0.2">
      <c r="A44">
        <v>143</v>
      </c>
      <c r="B44">
        <v>41</v>
      </c>
      <c r="C44">
        <v>19817</v>
      </c>
      <c r="D44">
        <v>24456</v>
      </c>
      <c r="E44" t="s">
        <v>22</v>
      </c>
    </row>
    <row r="45" spans="1:5" x14ac:dyDescent="0.2">
      <c r="A45">
        <v>144</v>
      </c>
      <c r="B45">
        <v>41</v>
      </c>
      <c r="C45">
        <v>21261</v>
      </c>
      <c r="D45">
        <v>11530</v>
      </c>
      <c r="E45" t="s">
        <v>23</v>
      </c>
    </row>
    <row r="46" spans="1:5" x14ac:dyDescent="0.2">
      <c r="A46">
        <v>145</v>
      </c>
      <c r="B46">
        <v>34</v>
      </c>
      <c r="C46">
        <v>10417</v>
      </c>
      <c r="D46">
        <v>15188</v>
      </c>
      <c r="E46" t="s">
        <v>23</v>
      </c>
    </row>
    <row r="47" spans="1:5" x14ac:dyDescent="0.2">
      <c r="A47">
        <v>146</v>
      </c>
      <c r="B47">
        <v>36</v>
      </c>
      <c r="C47">
        <v>30358</v>
      </c>
      <c r="D47">
        <v>19683</v>
      </c>
      <c r="E47" t="s">
        <v>21</v>
      </c>
    </row>
    <row r="48" spans="1:5" x14ac:dyDescent="0.2">
      <c r="A48">
        <v>147</v>
      </c>
      <c r="B48">
        <v>33</v>
      </c>
      <c r="C48">
        <v>13267</v>
      </c>
      <c r="D48">
        <v>5504</v>
      </c>
      <c r="E48" t="s">
        <v>23</v>
      </c>
    </row>
    <row r="49" spans="1:5" x14ac:dyDescent="0.2">
      <c r="A49">
        <v>148</v>
      </c>
      <c r="B49">
        <v>35</v>
      </c>
      <c r="C49">
        <v>27209</v>
      </c>
      <c r="D49">
        <v>6214</v>
      </c>
      <c r="E49" t="s">
        <v>2</v>
      </c>
    </row>
    <row r="50" spans="1:5" x14ac:dyDescent="0.2">
      <c r="A50">
        <v>149</v>
      </c>
      <c r="B50">
        <v>42</v>
      </c>
      <c r="C50">
        <v>34052</v>
      </c>
      <c r="D50">
        <v>6531</v>
      </c>
      <c r="E50" t="s">
        <v>21</v>
      </c>
    </row>
    <row r="51" spans="1:5" x14ac:dyDescent="0.2">
      <c r="A51">
        <v>150</v>
      </c>
      <c r="B51">
        <v>49</v>
      </c>
      <c r="C51">
        <v>48513</v>
      </c>
      <c r="D51">
        <v>5823</v>
      </c>
      <c r="E51" t="s">
        <v>23</v>
      </c>
    </row>
    <row r="52" spans="1:5" x14ac:dyDescent="0.2">
      <c r="A52">
        <v>151</v>
      </c>
      <c r="B52">
        <v>44</v>
      </c>
      <c r="C52">
        <v>36092</v>
      </c>
      <c r="D52">
        <v>22312</v>
      </c>
      <c r="E52" t="s">
        <v>21</v>
      </c>
    </row>
    <row r="53" spans="1:5" x14ac:dyDescent="0.2">
      <c r="A53">
        <v>152</v>
      </c>
      <c r="B53">
        <v>32</v>
      </c>
      <c r="C53">
        <v>21338</v>
      </c>
      <c r="D53">
        <v>10029</v>
      </c>
      <c r="E53" t="s">
        <v>23</v>
      </c>
    </row>
    <row r="54" spans="1:5" x14ac:dyDescent="0.2">
      <c r="A54">
        <v>153</v>
      </c>
      <c r="B54">
        <v>37</v>
      </c>
      <c r="C54">
        <v>10412</v>
      </c>
      <c r="D54">
        <v>18428</v>
      </c>
      <c r="E54" t="s">
        <v>23</v>
      </c>
    </row>
    <row r="55" spans="1:5" x14ac:dyDescent="0.2">
      <c r="A55">
        <v>154</v>
      </c>
      <c r="B55">
        <v>49</v>
      </c>
      <c r="C55">
        <v>17543</v>
      </c>
      <c r="D55">
        <v>21517</v>
      </c>
      <c r="E55" t="s">
        <v>23</v>
      </c>
    </row>
    <row r="56" spans="1:5" x14ac:dyDescent="0.2">
      <c r="A56">
        <v>155</v>
      </c>
      <c r="B56">
        <v>45</v>
      </c>
      <c r="C56">
        <v>43496</v>
      </c>
      <c r="D56">
        <v>7105</v>
      </c>
      <c r="E56" t="s">
        <v>2</v>
      </c>
    </row>
    <row r="57" spans="1:5" x14ac:dyDescent="0.2">
      <c r="A57">
        <v>156</v>
      </c>
      <c r="B57">
        <v>42</v>
      </c>
      <c r="C57">
        <v>33548</v>
      </c>
      <c r="D57">
        <v>8627</v>
      </c>
      <c r="E57" t="s">
        <v>2</v>
      </c>
    </row>
    <row r="58" spans="1:5" x14ac:dyDescent="0.2">
      <c r="A58">
        <v>157</v>
      </c>
      <c r="B58">
        <v>47</v>
      </c>
      <c r="C58">
        <v>37384</v>
      </c>
      <c r="D58">
        <v>17972</v>
      </c>
      <c r="E58" t="s">
        <v>21</v>
      </c>
    </row>
    <row r="59" spans="1:5" x14ac:dyDescent="0.2">
      <c r="A59">
        <v>158</v>
      </c>
      <c r="B59">
        <v>39</v>
      </c>
      <c r="C59">
        <v>48756</v>
      </c>
      <c r="D59">
        <v>6852</v>
      </c>
      <c r="E59" t="s">
        <v>23</v>
      </c>
    </row>
    <row r="60" spans="1:5" x14ac:dyDescent="0.2">
      <c r="A60">
        <v>159</v>
      </c>
      <c r="B60">
        <v>48</v>
      </c>
      <c r="C60">
        <v>28888</v>
      </c>
      <c r="D60">
        <v>9910</v>
      </c>
      <c r="E60" t="s">
        <v>23</v>
      </c>
    </row>
    <row r="61" spans="1:5" x14ac:dyDescent="0.2">
      <c r="A61">
        <v>160</v>
      </c>
      <c r="B61">
        <v>46</v>
      </c>
      <c r="C61">
        <v>45735</v>
      </c>
      <c r="D61">
        <v>16003</v>
      </c>
      <c r="E61" t="s">
        <v>2</v>
      </c>
    </row>
    <row r="62" spans="1:5" x14ac:dyDescent="0.2">
      <c r="A62">
        <v>161</v>
      </c>
      <c r="B62">
        <v>48</v>
      </c>
      <c r="C62">
        <v>27506</v>
      </c>
      <c r="D62">
        <v>18843</v>
      </c>
      <c r="E62" t="s">
        <v>23</v>
      </c>
    </row>
    <row r="63" spans="1:5" x14ac:dyDescent="0.2">
      <c r="A63">
        <v>162</v>
      </c>
      <c r="B63">
        <v>34</v>
      </c>
      <c r="C63">
        <v>30463</v>
      </c>
      <c r="D63">
        <v>16704</v>
      </c>
      <c r="E63" t="s">
        <v>2</v>
      </c>
    </row>
    <row r="64" spans="1:5" x14ac:dyDescent="0.2">
      <c r="A64">
        <v>163</v>
      </c>
      <c r="B64">
        <v>38</v>
      </c>
      <c r="C64">
        <v>27955</v>
      </c>
      <c r="D64">
        <v>20761</v>
      </c>
      <c r="E64" t="s">
        <v>23</v>
      </c>
    </row>
    <row r="65" spans="1:5" x14ac:dyDescent="0.2">
      <c r="A65">
        <v>164</v>
      </c>
      <c r="B65">
        <v>41</v>
      </c>
      <c r="C65">
        <v>47841</v>
      </c>
      <c r="D65">
        <v>11190</v>
      </c>
      <c r="E65" t="s">
        <v>21</v>
      </c>
    </row>
    <row r="66" spans="1:5" x14ac:dyDescent="0.2">
      <c r="A66">
        <v>165</v>
      </c>
      <c r="B66">
        <v>30</v>
      </c>
      <c r="C66">
        <v>15104</v>
      </c>
      <c r="D66">
        <v>22640</v>
      </c>
      <c r="E66" t="s">
        <v>23</v>
      </c>
    </row>
    <row r="67" spans="1:5" x14ac:dyDescent="0.2">
      <c r="A67">
        <v>166</v>
      </c>
      <c r="B67">
        <v>30</v>
      </c>
      <c r="C67">
        <v>44911</v>
      </c>
      <c r="D67">
        <v>24760</v>
      </c>
      <c r="E67" t="s">
        <v>23</v>
      </c>
    </row>
    <row r="68" spans="1:5" x14ac:dyDescent="0.2">
      <c r="A68">
        <v>167</v>
      </c>
      <c r="B68">
        <v>44</v>
      </c>
      <c r="C68">
        <v>33190</v>
      </c>
      <c r="D68">
        <v>10645</v>
      </c>
      <c r="E68" t="s">
        <v>22</v>
      </c>
    </row>
    <row r="69" spans="1:5" x14ac:dyDescent="0.2">
      <c r="A69">
        <v>168</v>
      </c>
      <c r="B69">
        <v>31</v>
      </c>
      <c r="C69">
        <v>17357</v>
      </c>
      <c r="D69">
        <v>24870</v>
      </c>
      <c r="E69" t="s">
        <v>2</v>
      </c>
    </row>
    <row r="70" spans="1:5" x14ac:dyDescent="0.2">
      <c r="A70">
        <v>169</v>
      </c>
      <c r="B70">
        <v>45</v>
      </c>
      <c r="C70">
        <v>42479</v>
      </c>
      <c r="D70">
        <v>24968</v>
      </c>
      <c r="E70" t="s">
        <v>23</v>
      </c>
    </row>
    <row r="71" spans="1:5" x14ac:dyDescent="0.2">
      <c r="A71">
        <v>170</v>
      </c>
      <c r="B71">
        <v>37</v>
      </c>
      <c r="C71">
        <v>46208</v>
      </c>
      <c r="D71">
        <v>14588</v>
      </c>
      <c r="E71" t="s">
        <v>23</v>
      </c>
    </row>
    <row r="72" spans="1:5" x14ac:dyDescent="0.2">
      <c r="A72">
        <v>171</v>
      </c>
      <c r="B72">
        <v>42</v>
      </c>
      <c r="C72">
        <v>30150</v>
      </c>
      <c r="D72">
        <v>16829</v>
      </c>
      <c r="E72" t="s">
        <v>22</v>
      </c>
    </row>
    <row r="73" spans="1:5" x14ac:dyDescent="0.2">
      <c r="A73">
        <v>172</v>
      </c>
      <c r="B73">
        <v>30</v>
      </c>
      <c r="C73">
        <v>15644</v>
      </c>
      <c r="D73">
        <v>13053</v>
      </c>
      <c r="E73" t="s">
        <v>22</v>
      </c>
    </row>
    <row r="74" spans="1:5" x14ac:dyDescent="0.2">
      <c r="A74">
        <v>173</v>
      </c>
      <c r="B74">
        <v>45</v>
      </c>
      <c r="C74">
        <v>12914</v>
      </c>
      <c r="D74">
        <v>8330</v>
      </c>
      <c r="E74" t="s">
        <v>2</v>
      </c>
    </row>
    <row r="75" spans="1:5" x14ac:dyDescent="0.2">
      <c r="A75">
        <v>174</v>
      </c>
      <c r="B75">
        <v>36</v>
      </c>
      <c r="C75">
        <v>31352</v>
      </c>
      <c r="D75">
        <v>24087</v>
      </c>
      <c r="E75" t="s">
        <v>22</v>
      </c>
    </row>
    <row r="76" spans="1:5" x14ac:dyDescent="0.2">
      <c r="A76">
        <v>175</v>
      </c>
      <c r="B76">
        <v>34</v>
      </c>
      <c r="C76">
        <v>24397</v>
      </c>
      <c r="D76">
        <v>13662</v>
      </c>
      <c r="E76" t="s">
        <v>21</v>
      </c>
    </row>
    <row r="77" spans="1:5" x14ac:dyDescent="0.2">
      <c r="A77">
        <v>176</v>
      </c>
      <c r="B77">
        <v>32</v>
      </c>
      <c r="C77">
        <v>10728</v>
      </c>
      <c r="D77">
        <v>12114</v>
      </c>
      <c r="E77" t="s">
        <v>22</v>
      </c>
    </row>
    <row r="78" spans="1:5" x14ac:dyDescent="0.2">
      <c r="A78">
        <v>177</v>
      </c>
      <c r="B78">
        <v>41</v>
      </c>
      <c r="C78">
        <v>10698</v>
      </c>
      <c r="D78">
        <v>18323</v>
      </c>
      <c r="E78" t="s">
        <v>21</v>
      </c>
    </row>
    <row r="79" spans="1:5" x14ac:dyDescent="0.2">
      <c r="A79">
        <v>178</v>
      </c>
      <c r="B79">
        <v>45</v>
      </c>
      <c r="C79">
        <v>49954</v>
      </c>
      <c r="D79">
        <v>6353</v>
      </c>
      <c r="E79" t="s">
        <v>2</v>
      </c>
    </row>
    <row r="80" spans="1:5" x14ac:dyDescent="0.2">
      <c r="A80">
        <v>179</v>
      </c>
      <c r="B80">
        <v>48</v>
      </c>
      <c r="C80">
        <v>23923</v>
      </c>
      <c r="D80">
        <v>15975</v>
      </c>
      <c r="E80" t="s">
        <v>2</v>
      </c>
    </row>
    <row r="81" spans="1:5" x14ac:dyDescent="0.2">
      <c r="A81">
        <v>180</v>
      </c>
      <c r="B81">
        <v>34</v>
      </c>
      <c r="C81">
        <v>26779</v>
      </c>
      <c r="D81">
        <v>16023</v>
      </c>
      <c r="E81" t="s">
        <v>2</v>
      </c>
    </row>
    <row r="82" spans="1:5" x14ac:dyDescent="0.2">
      <c r="A82">
        <v>181</v>
      </c>
      <c r="B82">
        <v>43</v>
      </c>
      <c r="C82">
        <v>17400</v>
      </c>
      <c r="D82">
        <v>5667</v>
      </c>
      <c r="E82" t="s">
        <v>2</v>
      </c>
    </row>
    <row r="83" spans="1:5" x14ac:dyDescent="0.2">
      <c r="A83">
        <v>182</v>
      </c>
      <c r="B83">
        <v>34</v>
      </c>
      <c r="C83">
        <v>34466</v>
      </c>
      <c r="D83">
        <v>14337</v>
      </c>
      <c r="E83" t="s">
        <v>2</v>
      </c>
    </row>
    <row r="84" spans="1:5" x14ac:dyDescent="0.2">
      <c r="A84">
        <v>183</v>
      </c>
      <c r="B84">
        <v>44</v>
      </c>
      <c r="C84">
        <v>46939</v>
      </c>
      <c r="D84">
        <v>18659</v>
      </c>
      <c r="E84" t="s">
        <v>21</v>
      </c>
    </row>
    <row r="85" spans="1:5" x14ac:dyDescent="0.2">
      <c r="A85">
        <v>184</v>
      </c>
      <c r="B85">
        <v>46</v>
      </c>
      <c r="C85">
        <v>14360</v>
      </c>
      <c r="D85">
        <v>8719</v>
      </c>
      <c r="E85" t="s">
        <v>21</v>
      </c>
    </row>
    <row r="86" spans="1:5" x14ac:dyDescent="0.2">
      <c r="A86">
        <v>185</v>
      </c>
      <c r="B86">
        <v>43</v>
      </c>
      <c r="C86">
        <v>45270</v>
      </c>
      <c r="D86">
        <v>24129</v>
      </c>
      <c r="E86" t="s">
        <v>2</v>
      </c>
    </row>
    <row r="87" spans="1:5" x14ac:dyDescent="0.2">
      <c r="A87">
        <v>186</v>
      </c>
      <c r="B87">
        <v>49</v>
      </c>
      <c r="C87">
        <v>27101</v>
      </c>
      <c r="D87">
        <v>12483</v>
      </c>
      <c r="E87" t="s">
        <v>22</v>
      </c>
    </row>
    <row r="88" spans="1:5" x14ac:dyDescent="0.2">
      <c r="A88">
        <v>187</v>
      </c>
      <c r="B88">
        <v>34</v>
      </c>
      <c r="C88">
        <v>42307</v>
      </c>
      <c r="D88">
        <v>5539</v>
      </c>
      <c r="E88" t="s">
        <v>23</v>
      </c>
    </row>
    <row r="89" spans="1:5" x14ac:dyDescent="0.2">
      <c r="A89">
        <v>188</v>
      </c>
      <c r="B89">
        <v>41</v>
      </c>
      <c r="C89">
        <v>15486</v>
      </c>
      <c r="D89">
        <v>9964</v>
      </c>
      <c r="E89" t="s">
        <v>2</v>
      </c>
    </row>
    <row r="90" spans="1:5" x14ac:dyDescent="0.2">
      <c r="A90">
        <v>189</v>
      </c>
      <c r="B90">
        <v>45</v>
      </c>
      <c r="C90">
        <v>18335</v>
      </c>
      <c r="D90">
        <v>9835</v>
      </c>
      <c r="E90" t="s">
        <v>22</v>
      </c>
    </row>
    <row r="91" spans="1:5" x14ac:dyDescent="0.2">
      <c r="A91">
        <v>190</v>
      </c>
      <c r="B91">
        <v>45</v>
      </c>
      <c r="C91">
        <v>31364</v>
      </c>
      <c r="D91">
        <v>11042</v>
      </c>
      <c r="E91" t="s">
        <v>23</v>
      </c>
    </row>
    <row r="92" spans="1:5" x14ac:dyDescent="0.2">
      <c r="A92">
        <v>191</v>
      </c>
      <c r="B92">
        <v>36</v>
      </c>
      <c r="C92">
        <v>47259</v>
      </c>
      <c r="D92">
        <v>19837</v>
      </c>
      <c r="E92" t="s">
        <v>2</v>
      </c>
    </row>
    <row r="93" spans="1:5" x14ac:dyDescent="0.2">
      <c r="A93">
        <v>192</v>
      </c>
      <c r="B93">
        <v>33</v>
      </c>
      <c r="C93">
        <v>33576</v>
      </c>
      <c r="D93">
        <v>12312</v>
      </c>
      <c r="E93" t="s">
        <v>2</v>
      </c>
    </row>
    <row r="94" spans="1:5" x14ac:dyDescent="0.2">
      <c r="A94">
        <v>193</v>
      </c>
      <c r="B94">
        <v>30</v>
      </c>
      <c r="C94">
        <v>41667</v>
      </c>
      <c r="D94">
        <v>10320</v>
      </c>
      <c r="E94" t="s">
        <v>21</v>
      </c>
    </row>
    <row r="95" spans="1:5" x14ac:dyDescent="0.2">
      <c r="A95">
        <v>194</v>
      </c>
      <c r="B95">
        <v>34</v>
      </c>
      <c r="C95">
        <v>21130</v>
      </c>
      <c r="D95">
        <v>18216</v>
      </c>
      <c r="E95" t="s">
        <v>23</v>
      </c>
    </row>
    <row r="96" spans="1:5" x14ac:dyDescent="0.2">
      <c r="A96">
        <v>195</v>
      </c>
      <c r="B96">
        <v>39</v>
      </c>
      <c r="C96">
        <v>31972</v>
      </c>
      <c r="D96">
        <v>7779</v>
      </c>
      <c r="E96" t="s">
        <v>23</v>
      </c>
    </row>
    <row r="97" spans="1:5" x14ac:dyDescent="0.2">
      <c r="A97">
        <v>196</v>
      </c>
      <c r="B97">
        <v>34</v>
      </c>
      <c r="C97">
        <v>11167</v>
      </c>
      <c r="D97">
        <v>22308</v>
      </c>
      <c r="E97" t="s">
        <v>22</v>
      </c>
    </row>
    <row r="98" spans="1:5" x14ac:dyDescent="0.2">
      <c r="A98">
        <v>197</v>
      </c>
      <c r="B98">
        <v>33</v>
      </c>
      <c r="C98">
        <v>37192</v>
      </c>
      <c r="D98">
        <v>6581</v>
      </c>
      <c r="E98" t="s">
        <v>21</v>
      </c>
    </row>
    <row r="99" spans="1:5" x14ac:dyDescent="0.2">
      <c r="A99">
        <v>198</v>
      </c>
      <c r="B99">
        <v>31</v>
      </c>
      <c r="C99">
        <v>11062</v>
      </c>
      <c r="D99">
        <v>24708</v>
      </c>
      <c r="E99" t="s">
        <v>21</v>
      </c>
    </row>
    <row r="100" spans="1:5" x14ac:dyDescent="0.2">
      <c r="A100">
        <v>199</v>
      </c>
      <c r="B100">
        <v>49</v>
      </c>
      <c r="C100">
        <v>28540</v>
      </c>
      <c r="D100">
        <v>17677</v>
      </c>
      <c r="E100" t="s">
        <v>21</v>
      </c>
    </row>
    <row r="101" spans="1:5" x14ac:dyDescent="0.2">
      <c r="A101">
        <v>200</v>
      </c>
      <c r="B101">
        <v>39</v>
      </c>
      <c r="C101">
        <v>34244</v>
      </c>
      <c r="D101">
        <v>10713</v>
      </c>
      <c r="E10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BBD5-BD91-9A4E-BF97-70DB8FE3F634}">
  <dimension ref="A1:Q101"/>
  <sheetViews>
    <sheetView workbookViewId="0">
      <selection activeCell="G10" sqref="G10"/>
    </sheetView>
  </sheetViews>
  <sheetFormatPr baseColWidth="10" defaultRowHeight="15" x14ac:dyDescent="0.2"/>
  <cols>
    <col min="1" max="1" width="19.6640625" customWidth="1"/>
    <col min="2" max="2" width="16.6640625" customWidth="1"/>
    <col min="3" max="3" width="18.6640625" customWidth="1"/>
    <col min="5" max="5" width="15.83203125" customWidth="1"/>
    <col min="6" max="6" width="12.6640625" bestFit="1" customWidth="1"/>
    <col min="7" max="7" width="18.33203125" customWidth="1"/>
    <col min="8" max="8" width="14.33203125" customWidth="1"/>
    <col min="9" max="9" width="14.83203125" customWidth="1"/>
  </cols>
  <sheetData>
    <row r="1" spans="1:11" x14ac:dyDescent="0.2">
      <c r="A1" s="8" t="s">
        <v>277</v>
      </c>
      <c r="B1" s="8" t="s">
        <v>278</v>
      </c>
      <c r="C1" s="8" t="s">
        <v>279</v>
      </c>
      <c r="D1" s="8" t="s">
        <v>280</v>
      </c>
      <c r="E1" s="24"/>
      <c r="F1" s="24" t="s">
        <v>281</v>
      </c>
      <c r="G1" s="25" t="s">
        <v>284</v>
      </c>
      <c r="H1" s="25" t="s">
        <v>285</v>
      </c>
      <c r="I1" s="25" t="s">
        <v>280</v>
      </c>
    </row>
    <row r="2" spans="1:11" ht="20" x14ac:dyDescent="0.2">
      <c r="A2" s="9">
        <f>Dataset2_EmployeeSales!C2/Dataset2_EmployeeSales!B2</f>
        <v>899.70270270270271</v>
      </c>
      <c r="B2" s="9">
        <f>Dataset2_EmployeeSales!C2/(Dataset2_EmployeeSales!B2+5)</f>
        <v>792.59523809523807</v>
      </c>
      <c r="C2" s="9">
        <f>Dataset2_EmployeeSales!C2*1.1/Dataset2_EmployeeSales!B2</f>
        <v>989.67297297297296</v>
      </c>
      <c r="D2" s="9">
        <f>(Dataset2_EmployeeSales!C2*1.1)/(Dataset2_EmployeeSales!B2+5)</f>
        <v>871.85476190476197</v>
      </c>
      <c r="E2" s="26" t="s">
        <v>282</v>
      </c>
      <c r="F2" s="27">
        <f>AVERAGE(A1:A101)</f>
        <v>783.38712780414164</v>
      </c>
      <c r="G2" s="27">
        <f>AVERAGE(B1:B101)</f>
        <v>692.41109483850187</v>
      </c>
      <c r="H2" s="27">
        <f>AVERAGE(C1:C101)</f>
        <v>861.72584058455584</v>
      </c>
      <c r="I2" s="27">
        <f>AVERAGE(D1:D101)</f>
        <v>761.65220432235185</v>
      </c>
      <c r="K2" s="3" t="s">
        <v>267</v>
      </c>
    </row>
    <row r="3" spans="1:11" x14ac:dyDescent="0.2">
      <c r="A3" s="9">
        <f>Dataset2_EmployeeSales!C3/Dataset2_EmployeeSales!B3</f>
        <v>1052.4883720930231</v>
      </c>
      <c r="B3" s="9">
        <f>Dataset2_EmployeeSales!C3/(Dataset2_EmployeeSales!B3+5)</f>
        <v>942.85416666666663</v>
      </c>
      <c r="C3" s="9">
        <f>Dataset2_EmployeeSales!C3*1.1/Dataset2_EmployeeSales!B3</f>
        <v>1157.7372093023257</v>
      </c>
      <c r="D3" s="9">
        <f>(Dataset2_EmployeeSales!C3*1.1)/(Dataset2_EmployeeSales!B3+5)</f>
        <v>1037.1395833333333</v>
      </c>
      <c r="E3" s="26" t="s">
        <v>283</v>
      </c>
      <c r="F3" s="27">
        <f>SUM(A1:A101)</f>
        <v>78338.712780414164</v>
      </c>
      <c r="G3" s="27">
        <f>SUM(B1:B101)</f>
        <v>69241.109483850189</v>
      </c>
      <c r="H3" s="27">
        <f>SUM(C1:C101)</f>
        <v>86172.584058455584</v>
      </c>
      <c r="I3" s="27">
        <f>SUM(D2:D101)</f>
        <v>76165.22043223519</v>
      </c>
    </row>
    <row r="4" spans="1:11" ht="20" x14ac:dyDescent="0.2">
      <c r="A4" s="9">
        <f>Dataset2_EmployeeSales!C4/Dataset2_EmployeeSales!B4</f>
        <v>421.7659574468085</v>
      </c>
      <c r="B4" s="9">
        <f>Dataset2_EmployeeSales!C4/(Dataset2_EmployeeSales!B4+5)</f>
        <v>381.21153846153845</v>
      </c>
      <c r="C4" s="9">
        <f>Dataset2_EmployeeSales!C4*1.1/Dataset2_EmployeeSales!B4</f>
        <v>463.94255319148942</v>
      </c>
      <c r="D4" s="9">
        <f>(Dataset2_EmployeeSales!C4*1.1)/(Dataset2_EmployeeSales!B4+5)</f>
        <v>419.33269230769235</v>
      </c>
      <c r="K4" s="3" t="s">
        <v>268</v>
      </c>
    </row>
    <row r="5" spans="1:11" ht="20" x14ac:dyDescent="0.2">
      <c r="A5" s="9">
        <f>Dataset2_EmployeeSales!C5/Dataset2_EmployeeSales!B5</f>
        <v>444.09090909090907</v>
      </c>
      <c r="B5" s="9">
        <f>Dataset2_EmployeeSales!C5/(Dataset2_EmployeeSales!B5+5)</f>
        <v>398.77551020408163</v>
      </c>
      <c r="C5" s="9">
        <f>Dataset2_EmployeeSales!C5*1.1/Dataset2_EmployeeSales!B5</f>
        <v>488.5</v>
      </c>
      <c r="D5" s="9">
        <f>(Dataset2_EmployeeSales!C5*1.1)/(Dataset2_EmployeeSales!B5+5)</f>
        <v>438.65306122448982</v>
      </c>
      <c r="K5" s="3" t="s">
        <v>269</v>
      </c>
    </row>
    <row r="6" spans="1:11" ht="20" x14ac:dyDescent="0.2">
      <c r="A6" s="9">
        <f>Dataset2_EmployeeSales!C6/Dataset2_EmployeeSales!B6</f>
        <v>850.45161290322585</v>
      </c>
      <c r="B6" s="9">
        <f>Dataset2_EmployeeSales!C6/(Dataset2_EmployeeSales!B6+5)</f>
        <v>732.33333333333337</v>
      </c>
      <c r="C6" s="9">
        <f>Dataset2_EmployeeSales!C6*1.1/Dataset2_EmployeeSales!B6</f>
        <v>935.49677419354839</v>
      </c>
      <c r="D6" s="9">
        <f>(Dataset2_EmployeeSales!C6*1.1)/(Dataset2_EmployeeSales!B6+5)</f>
        <v>805.56666666666672</v>
      </c>
      <c r="K6" s="3" t="s">
        <v>256</v>
      </c>
    </row>
    <row r="7" spans="1:11" ht="20" x14ac:dyDescent="0.2">
      <c r="A7" s="9">
        <f>Dataset2_EmployeeSales!C7/Dataset2_EmployeeSales!B7</f>
        <v>374.64102564102564</v>
      </c>
      <c r="B7" s="9">
        <f>Dataset2_EmployeeSales!C7/(Dataset2_EmployeeSales!B7+5)</f>
        <v>332.06818181818181</v>
      </c>
      <c r="C7" s="9">
        <f>Dataset2_EmployeeSales!C7*1.1/Dataset2_EmployeeSales!B7</f>
        <v>412.10512820512827</v>
      </c>
      <c r="D7" s="9">
        <f>(Dataset2_EmployeeSales!C7*1.1)/(Dataset2_EmployeeSales!B7+5)</f>
        <v>365.27500000000003</v>
      </c>
      <c r="K7" s="4" t="s">
        <v>270</v>
      </c>
    </row>
    <row r="8" spans="1:11" ht="20" x14ac:dyDescent="0.2">
      <c r="A8" s="9">
        <f>Dataset2_EmployeeSales!C8/Dataset2_EmployeeSales!B8</f>
        <v>1214.9354838709678</v>
      </c>
      <c r="B8" s="9">
        <f>Dataset2_EmployeeSales!C8/(Dataset2_EmployeeSales!B8+5)</f>
        <v>1046.1944444444443</v>
      </c>
      <c r="C8" s="9">
        <f>Dataset2_EmployeeSales!C8*1.1/Dataset2_EmployeeSales!B8</f>
        <v>1336.4290322580646</v>
      </c>
      <c r="D8" s="9">
        <f>(Dataset2_EmployeeSales!C8*1.1)/(Dataset2_EmployeeSales!B8+5)</f>
        <v>1150.8138888888889</v>
      </c>
      <c r="K8" s="4" t="s">
        <v>271</v>
      </c>
    </row>
    <row r="9" spans="1:11" ht="20" x14ac:dyDescent="0.2">
      <c r="A9" s="9">
        <f>Dataset2_EmployeeSales!C9/Dataset2_EmployeeSales!B9</f>
        <v>1057.5217391304348</v>
      </c>
      <c r="B9" s="9">
        <f>Dataset2_EmployeeSales!C9/(Dataset2_EmployeeSales!B9+5)</f>
        <v>953.84313725490199</v>
      </c>
      <c r="C9" s="9">
        <f>Dataset2_EmployeeSales!C9*1.1/Dataset2_EmployeeSales!B9</f>
        <v>1163.2739130434784</v>
      </c>
      <c r="D9" s="9">
        <f>(Dataset2_EmployeeSales!C9*1.1)/(Dataset2_EmployeeSales!B9+5)</f>
        <v>1049.2274509803922</v>
      </c>
      <c r="K9" s="4" t="s">
        <v>272</v>
      </c>
    </row>
    <row r="10" spans="1:11" ht="20" x14ac:dyDescent="0.2">
      <c r="A10" s="9">
        <f>Dataset2_EmployeeSales!C10/Dataset2_EmployeeSales!B10</f>
        <v>1107.4864864864865</v>
      </c>
      <c r="B10" s="9">
        <f>Dataset2_EmployeeSales!C10/(Dataset2_EmployeeSales!B10+5)</f>
        <v>975.64285714285711</v>
      </c>
      <c r="C10" s="9">
        <f>Dataset2_EmployeeSales!C10*1.1/Dataset2_EmployeeSales!B10</f>
        <v>1218.2351351351354</v>
      </c>
      <c r="D10" s="9">
        <f>(Dataset2_EmployeeSales!C10*1.1)/(Dataset2_EmployeeSales!B10+5)</f>
        <v>1073.207142857143</v>
      </c>
      <c r="K10" s="4" t="s">
        <v>273</v>
      </c>
    </row>
    <row r="11" spans="1:11" ht="20" x14ac:dyDescent="0.2">
      <c r="A11" s="9">
        <f>Dataset2_EmployeeSales!C11/Dataset2_EmployeeSales!B11</f>
        <v>1305.5999999999999</v>
      </c>
      <c r="B11" s="9">
        <f>Dataset2_EmployeeSales!C11/(Dataset2_EmployeeSales!B11+5)</f>
        <v>1119.0857142857142</v>
      </c>
      <c r="C11" s="9">
        <f>Dataset2_EmployeeSales!C11*1.1/Dataset2_EmployeeSales!B11</f>
        <v>1436.16</v>
      </c>
      <c r="D11" s="9">
        <f>(Dataset2_EmployeeSales!C11*1.1)/(Dataset2_EmployeeSales!B11+5)</f>
        <v>1230.9942857142858</v>
      </c>
      <c r="K11" s="4" t="s">
        <v>274</v>
      </c>
    </row>
    <row r="12" spans="1:11" ht="20" x14ac:dyDescent="0.2">
      <c r="A12" s="9">
        <f>Dataset2_EmployeeSales!C12/Dataset2_EmployeeSales!B12</f>
        <v>933.4473684210526</v>
      </c>
      <c r="B12" s="9">
        <f>Dataset2_EmployeeSales!C12/(Dataset2_EmployeeSales!B12+5)</f>
        <v>824.90697674418607</v>
      </c>
      <c r="C12" s="9">
        <f>Dataset2_EmployeeSales!C12*1.1/Dataset2_EmployeeSales!B12</f>
        <v>1026.792105263158</v>
      </c>
      <c r="D12" s="9">
        <f>(Dataset2_EmployeeSales!C12*1.1)/(Dataset2_EmployeeSales!B12+5)</f>
        <v>907.39767441860477</v>
      </c>
      <c r="K12" s="4" t="s">
        <v>275</v>
      </c>
    </row>
    <row r="13" spans="1:11" ht="20" x14ac:dyDescent="0.2">
      <c r="A13" s="9">
        <f>Dataset2_EmployeeSales!C13/Dataset2_EmployeeSales!B13</f>
        <v>817.17499999999995</v>
      </c>
      <c r="B13" s="9">
        <f>Dataset2_EmployeeSales!C13/(Dataset2_EmployeeSales!B13+5)</f>
        <v>726.37777777777774</v>
      </c>
      <c r="C13" s="9">
        <f>Dataset2_EmployeeSales!C13*1.1/Dataset2_EmployeeSales!B13</f>
        <v>898.89250000000015</v>
      </c>
      <c r="D13" s="9">
        <f>(Dataset2_EmployeeSales!C13*1.1)/(Dataset2_EmployeeSales!B13+5)</f>
        <v>799.01555555555569</v>
      </c>
      <c r="K13" s="4" t="s">
        <v>276</v>
      </c>
    </row>
    <row r="14" spans="1:11" x14ac:dyDescent="0.2">
      <c r="A14" s="9">
        <f>Dataset2_EmployeeSales!C14/Dataset2_EmployeeSales!B14</f>
        <v>241.13333333333333</v>
      </c>
      <c r="B14" s="9">
        <f>Dataset2_EmployeeSales!C14/(Dataset2_EmployeeSales!B14+5)</f>
        <v>217.02</v>
      </c>
      <c r="C14" s="9">
        <f>Dataset2_EmployeeSales!C14*1.1/Dataset2_EmployeeSales!B14</f>
        <v>265.24666666666667</v>
      </c>
      <c r="D14" s="9">
        <f>(Dataset2_EmployeeSales!C14*1.1)/(Dataset2_EmployeeSales!B14+5)</f>
        <v>238.72200000000001</v>
      </c>
    </row>
    <row r="15" spans="1:11" x14ac:dyDescent="0.2">
      <c r="A15" s="9">
        <f>Dataset2_EmployeeSales!C15/Dataset2_EmployeeSales!B15</f>
        <v>779.75</v>
      </c>
      <c r="B15" s="9">
        <f>Dataset2_EmployeeSales!C15/(Dataset2_EmployeeSales!B15+5)</f>
        <v>684.65853658536582</v>
      </c>
      <c r="C15" s="9">
        <f>Dataset2_EmployeeSales!C15*1.1/Dataset2_EmployeeSales!B15</f>
        <v>857.72500000000002</v>
      </c>
      <c r="D15" s="9">
        <f>(Dataset2_EmployeeSales!C15*1.1)/(Dataset2_EmployeeSales!B15+5)</f>
        <v>753.12439024390244</v>
      </c>
    </row>
    <row r="16" spans="1:11" x14ac:dyDescent="0.2">
      <c r="A16" s="9">
        <f>Dataset2_EmployeeSales!C16/Dataset2_EmployeeSales!B16</f>
        <v>431.61538461538464</v>
      </c>
      <c r="B16" s="9">
        <f>Dataset2_EmployeeSales!C16/(Dataset2_EmployeeSales!B16+5)</f>
        <v>382.56818181818181</v>
      </c>
      <c r="C16" s="9">
        <f>Dataset2_EmployeeSales!C16*1.1/Dataset2_EmployeeSales!B16</f>
        <v>474.77692307692314</v>
      </c>
      <c r="D16" s="9">
        <f>(Dataset2_EmployeeSales!C16*1.1)/(Dataset2_EmployeeSales!B16+5)</f>
        <v>420.82500000000005</v>
      </c>
    </row>
    <row r="17" spans="1:17" ht="20" x14ac:dyDescent="0.2">
      <c r="A17" s="9">
        <f>Dataset2_EmployeeSales!C17/Dataset2_EmployeeSales!B17</f>
        <v>685.5625</v>
      </c>
      <c r="B17" s="9">
        <f>Dataset2_EmployeeSales!C17/(Dataset2_EmployeeSales!B17+5)</f>
        <v>592.91891891891896</v>
      </c>
      <c r="C17" s="9">
        <f>Dataset2_EmployeeSales!C17*1.1/Dataset2_EmployeeSales!B17</f>
        <v>754.11875000000009</v>
      </c>
      <c r="D17" s="9">
        <f>(Dataset2_EmployeeSales!C17*1.1)/(Dataset2_EmployeeSales!B17+5)</f>
        <v>652.21081081081093</v>
      </c>
      <c r="Q17" s="4"/>
    </row>
    <row r="18" spans="1:17" x14ac:dyDescent="0.2">
      <c r="A18" s="9">
        <f>Dataset2_EmployeeSales!C18/Dataset2_EmployeeSales!B18</f>
        <v>961.59574468085111</v>
      </c>
      <c r="B18" s="9">
        <f>Dataset2_EmployeeSales!C18/(Dataset2_EmployeeSales!B18+5)</f>
        <v>869.13461538461536</v>
      </c>
      <c r="C18" s="9">
        <f>Dataset2_EmployeeSales!C18*1.1/Dataset2_EmployeeSales!B18</f>
        <v>1057.7553191489362</v>
      </c>
      <c r="D18" s="9">
        <f>(Dataset2_EmployeeSales!C18*1.1)/(Dataset2_EmployeeSales!B18+5)</f>
        <v>956.04807692307702</v>
      </c>
    </row>
    <row r="19" spans="1:17" x14ac:dyDescent="0.2">
      <c r="A19" s="9">
        <f>Dataset2_EmployeeSales!C19/Dataset2_EmployeeSales!B19</f>
        <v>860.57142857142856</v>
      </c>
      <c r="B19" s="9">
        <f>Dataset2_EmployeeSales!C19/(Dataset2_EmployeeSales!B19+5)</f>
        <v>769.02127659574467</v>
      </c>
      <c r="C19" s="9">
        <f>Dataset2_EmployeeSales!C19*1.1/Dataset2_EmployeeSales!B19</f>
        <v>946.62857142857149</v>
      </c>
      <c r="D19" s="9">
        <f>(Dataset2_EmployeeSales!C19*1.1)/(Dataset2_EmployeeSales!B19+5)</f>
        <v>845.92340425531916</v>
      </c>
    </row>
    <row r="20" spans="1:17" x14ac:dyDescent="0.2">
      <c r="A20" s="9">
        <f>Dataset2_EmployeeSales!C20/Dataset2_EmployeeSales!B20</f>
        <v>388.88888888888891</v>
      </c>
      <c r="B20" s="9">
        <f>Dataset2_EmployeeSales!C20/(Dataset2_EmployeeSales!B20+5)</f>
        <v>341.46341463414632</v>
      </c>
      <c r="C20" s="9">
        <f>Dataset2_EmployeeSales!C20*1.1/Dataset2_EmployeeSales!B20</f>
        <v>427.77777777777783</v>
      </c>
      <c r="D20" s="9">
        <f>(Dataset2_EmployeeSales!C20*1.1)/(Dataset2_EmployeeSales!B20+5)</f>
        <v>375.60975609756105</v>
      </c>
    </row>
    <row r="21" spans="1:17" x14ac:dyDescent="0.2">
      <c r="A21" s="9">
        <f>Dataset2_EmployeeSales!C21/Dataset2_EmployeeSales!B21</f>
        <v>456.12121212121212</v>
      </c>
      <c r="B21" s="9">
        <f>Dataset2_EmployeeSales!C21/(Dataset2_EmployeeSales!B21+5)</f>
        <v>396.10526315789474</v>
      </c>
      <c r="C21" s="9">
        <f>Dataset2_EmployeeSales!C21*1.1/Dataset2_EmployeeSales!B21</f>
        <v>501.73333333333335</v>
      </c>
      <c r="D21" s="9">
        <f>(Dataset2_EmployeeSales!C21*1.1)/(Dataset2_EmployeeSales!B21+5)</f>
        <v>435.71578947368425</v>
      </c>
    </row>
    <row r="22" spans="1:17" x14ac:dyDescent="0.2">
      <c r="A22" s="9">
        <f>Dataset2_EmployeeSales!C22/Dataset2_EmployeeSales!B22</f>
        <v>1083.4761904761904</v>
      </c>
      <c r="B22" s="9">
        <f>Dataset2_EmployeeSales!C22/(Dataset2_EmployeeSales!B22+5)</f>
        <v>968.21276595744678</v>
      </c>
      <c r="C22" s="9">
        <f>Dataset2_EmployeeSales!C22*1.1/Dataset2_EmployeeSales!B22</f>
        <v>1191.8238095238096</v>
      </c>
      <c r="D22" s="9">
        <f>(Dataset2_EmployeeSales!C22*1.1)/(Dataset2_EmployeeSales!B22+5)</f>
        <v>1065.0340425531915</v>
      </c>
    </row>
    <row r="23" spans="1:17" x14ac:dyDescent="0.2">
      <c r="A23" s="9">
        <f>Dataset2_EmployeeSales!C23/Dataset2_EmployeeSales!B23</f>
        <v>777.0204081632653</v>
      </c>
      <c r="B23" s="9">
        <f>Dataset2_EmployeeSales!C23/(Dataset2_EmployeeSales!B23+5)</f>
        <v>705.07407407407402</v>
      </c>
      <c r="C23" s="9">
        <f>Dataset2_EmployeeSales!C23*1.1/Dataset2_EmployeeSales!B23</f>
        <v>854.72244897959183</v>
      </c>
      <c r="D23" s="9">
        <f>(Dataset2_EmployeeSales!C23*1.1)/(Dataset2_EmployeeSales!B23+5)</f>
        <v>775.58148148148155</v>
      </c>
    </row>
    <row r="24" spans="1:17" x14ac:dyDescent="0.2">
      <c r="A24" s="9">
        <f>Dataset2_EmployeeSales!C24/Dataset2_EmployeeSales!B24</f>
        <v>1605.1666666666667</v>
      </c>
      <c r="B24" s="9">
        <f>Dataset2_EmployeeSales!C24/(Dataset2_EmployeeSales!B24+5)</f>
        <v>1375.8571428571429</v>
      </c>
      <c r="C24" s="9">
        <f>Dataset2_EmployeeSales!C24*1.1/Dataset2_EmployeeSales!B24</f>
        <v>1765.6833333333336</v>
      </c>
      <c r="D24" s="9">
        <f>(Dataset2_EmployeeSales!C24*1.1)/(Dataset2_EmployeeSales!B24+5)</f>
        <v>1513.4428571428573</v>
      </c>
    </row>
    <row r="25" spans="1:17" x14ac:dyDescent="0.2">
      <c r="A25" s="9">
        <f>Dataset2_EmployeeSales!C25/Dataset2_EmployeeSales!B25</f>
        <v>1143.7837837837837</v>
      </c>
      <c r="B25" s="9">
        <f>Dataset2_EmployeeSales!C25/(Dataset2_EmployeeSales!B25+5)</f>
        <v>1007.6190476190476</v>
      </c>
      <c r="C25" s="9">
        <f>Dataset2_EmployeeSales!C25*1.1/Dataset2_EmployeeSales!B25</f>
        <v>1258.1621621621623</v>
      </c>
      <c r="D25" s="9">
        <f>(Dataset2_EmployeeSales!C25*1.1)/(Dataset2_EmployeeSales!B25+5)</f>
        <v>1108.3809523809525</v>
      </c>
    </row>
    <row r="26" spans="1:17" x14ac:dyDescent="0.2">
      <c r="A26" s="9">
        <f>Dataset2_EmployeeSales!C26/Dataset2_EmployeeSales!B26</f>
        <v>1123.3488372093022</v>
      </c>
      <c r="B26" s="9">
        <f>Dataset2_EmployeeSales!C26/(Dataset2_EmployeeSales!B26+5)</f>
        <v>1006.3333333333334</v>
      </c>
      <c r="C26" s="9">
        <f>Dataset2_EmployeeSales!C26*1.1/Dataset2_EmployeeSales!B26</f>
        <v>1235.6837209302325</v>
      </c>
      <c r="D26" s="9">
        <f>(Dataset2_EmployeeSales!C26*1.1)/(Dataset2_EmployeeSales!B26+5)</f>
        <v>1106.9666666666667</v>
      </c>
    </row>
    <row r="27" spans="1:17" x14ac:dyDescent="0.2">
      <c r="A27" s="9">
        <f>Dataset2_EmployeeSales!C27/Dataset2_EmployeeSales!B27</f>
        <v>309.17777777777781</v>
      </c>
      <c r="B27" s="9">
        <f>Dataset2_EmployeeSales!C27/(Dataset2_EmployeeSales!B27+5)</f>
        <v>278.26</v>
      </c>
      <c r="C27" s="9">
        <f>Dataset2_EmployeeSales!C27*1.1/Dataset2_EmployeeSales!B27</f>
        <v>340.09555555555556</v>
      </c>
      <c r="D27" s="9">
        <f>(Dataset2_EmployeeSales!C27*1.1)/(Dataset2_EmployeeSales!B27+5)</f>
        <v>306.08600000000001</v>
      </c>
    </row>
    <row r="28" spans="1:17" x14ac:dyDescent="0.2">
      <c r="A28" s="9">
        <f>Dataset2_EmployeeSales!C28/Dataset2_EmployeeSales!B28</f>
        <v>638.37209302325584</v>
      </c>
      <c r="B28" s="9">
        <f>Dataset2_EmployeeSales!C28/(Dataset2_EmployeeSales!B28+5)</f>
        <v>571.875</v>
      </c>
      <c r="C28" s="9">
        <f>Dataset2_EmployeeSales!C28*1.1/Dataset2_EmployeeSales!B28</f>
        <v>702.20930232558146</v>
      </c>
      <c r="D28" s="9">
        <f>(Dataset2_EmployeeSales!C28*1.1)/(Dataset2_EmployeeSales!B28+5)</f>
        <v>629.06250000000011</v>
      </c>
    </row>
    <row r="29" spans="1:17" x14ac:dyDescent="0.2">
      <c r="A29" s="9">
        <f>Dataset2_EmployeeSales!C29/Dataset2_EmployeeSales!B29</f>
        <v>831.8780487804878</v>
      </c>
      <c r="B29" s="9">
        <f>Dataset2_EmployeeSales!C29/(Dataset2_EmployeeSales!B29+5)</f>
        <v>741.45652173913038</v>
      </c>
      <c r="C29" s="9">
        <f>Dataset2_EmployeeSales!C29*1.1/Dataset2_EmployeeSales!B29</f>
        <v>915.06585365853664</v>
      </c>
      <c r="D29" s="9">
        <f>(Dataset2_EmployeeSales!C29*1.1)/(Dataset2_EmployeeSales!B29+5)</f>
        <v>815.60217391304354</v>
      </c>
    </row>
    <row r="30" spans="1:17" x14ac:dyDescent="0.2">
      <c r="A30" s="9">
        <f>Dataset2_EmployeeSales!C30/Dataset2_EmployeeSales!B30</f>
        <v>640.91666666666663</v>
      </c>
      <c r="B30" s="9">
        <f>Dataset2_EmployeeSales!C30/(Dataset2_EmployeeSales!B30+5)</f>
        <v>580.45283018867929</v>
      </c>
      <c r="C30" s="9">
        <f>Dataset2_EmployeeSales!C30*1.1/Dataset2_EmployeeSales!B30</f>
        <v>705.00833333333333</v>
      </c>
      <c r="D30" s="9">
        <f>(Dataset2_EmployeeSales!C30*1.1)/(Dataset2_EmployeeSales!B30+5)</f>
        <v>638.49811320754725</v>
      </c>
    </row>
    <row r="31" spans="1:17" x14ac:dyDescent="0.2">
      <c r="A31" s="9">
        <f>Dataset2_EmployeeSales!C31/Dataset2_EmployeeSales!B31</f>
        <v>692.97727272727275</v>
      </c>
      <c r="B31" s="9">
        <f>Dataset2_EmployeeSales!C31/(Dataset2_EmployeeSales!B31+5)</f>
        <v>622.26530612244903</v>
      </c>
      <c r="C31" s="9">
        <f>Dataset2_EmployeeSales!C31*1.1/Dataset2_EmployeeSales!B31</f>
        <v>762.27500000000009</v>
      </c>
      <c r="D31" s="9">
        <f>(Dataset2_EmployeeSales!C31*1.1)/(Dataset2_EmployeeSales!B31+5)</f>
        <v>684.49183673469395</v>
      </c>
    </row>
    <row r="32" spans="1:17" x14ac:dyDescent="0.2">
      <c r="A32" s="9">
        <f>Dataset2_EmployeeSales!C32/Dataset2_EmployeeSales!B32</f>
        <v>1564.3225806451612</v>
      </c>
      <c r="B32" s="9">
        <f>Dataset2_EmployeeSales!C32/(Dataset2_EmployeeSales!B32+5)</f>
        <v>1347.0555555555557</v>
      </c>
      <c r="C32" s="9">
        <f>Dataset2_EmployeeSales!C32*1.1/Dataset2_EmployeeSales!B32</f>
        <v>1720.7548387096774</v>
      </c>
      <c r="D32" s="9">
        <f>(Dataset2_EmployeeSales!C32*1.1)/(Dataset2_EmployeeSales!B32+5)</f>
        <v>1481.7611111111112</v>
      </c>
    </row>
    <row r="33" spans="1:4" x14ac:dyDescent="0.2">
      <c r="A33" s="9">
        <f>Dataset2_EmployeeSales!C33/Dataset2_EmployeeSales!B33</f>
        <v>431.38709677419354</v>
      </c>
      <c r="B33" s="9">
        <f>Dataset2_EmployeeSales!C33/(Dataset2_EmployeeSales!B33+5)</f>
        <v>371.47222222222223</v>
      </c>
      <c r="C33" s="9">
        <f>Dataset2_EmployeeSales!C33*1.1/Dataset2_EmployeeSales!B33</f>
        <v>474.52580645161294</v>
      </c>
      <c r="D33" s="9">
        <f>(Dataset2_EmployeeSales!C33*1.1)/(Dataset2_EmployeeSales!B33+5)</f>
        <v>408.61944444444447</v>
      </c>
    </row>
    <row r="34" spans="1:4" x14ac:dyDescent="0.2">
      <c r="A34" s="9">
        <f>Dataset2_EmployeeSales!C34/Dataset2_EmployeeSales!B34</f>
        <v>461.6875</v>
      </c>
      <c r="B34" s="9">
        <f>Dataset2_EmployeeSales!C34/(Dataset2_EmployeeSales!B34+5)</f>
        <v>418.1320754716981</v>
      </c>
      <c r="C34" s="9">
        <f>Dataset2_EmployeeSales!C34*1.1/Dataset2_EmployeeSales!B34</f>
        <v>507.85625000000005</v>
      </c>
      <c r="D34" s="9">
        <f>(Dataset2_EmployeeSales!C34*1.1)/(Dataset2_EmployeeSales!B34+5)</f>
        <v>459.94528301886794</v>
      </c>
    </row>
    <row r="35" spans="1:4" x14ac:dyDescent="0.2">
      <c r="A35" s="9">
        <f>Dataset2_EmployeeSales!C35/Dataset2_EmployeeSales!B35</f>
        <v>912.95652173913038</v>
      </c>
      <c r="B35" s="9">
        <f>Dataset2_EmployeeSales!C35/(Dataset2_EmployeeSales!B35+5)</f>
        <v>823.45098039215691</v>
      </c>
      <c r="C35" s="9">
        <f>Dataset2_EmployeeSales!C35*1.1/Dataset2_EmployeeSales!B35</f>
        <v>1004.2521739130436</v>
      </c>
      <c r="D35" s="9">
        <f>(Dataset2_EmployeeSales!C35*1.1)/(Dataset2_EmployeeSales!B35+5)</f>
        <v>905.79607843137262</v>
      </c>
    </row>
    <row r="36" spans="1:4" x14ac:dyDescent="0.2">
      <c r="A36" s="9">
        <f>Dataset2_EmployeeSales!C36/Dataset2_EmployeeSales!B36</f>
        <v>757.59183673469386</v>
      </c>
      <c r="B36" s="9">
        <f>Dataset2_EmployeeSales!C36/(Dataset2_EmployeeSales!B36+5)</f>
        <v>687.44444444444446</v>
      </c>
      <c r="C36" s="9">
        <f>Dataset2_EmployeeSales!C36*1.1/Dataset2_EmployeeSales!B36</f>
        <v>833.35102040816332</v>
      </c>
      <c r="D36" s="9">
        <f>(Dataset2_EmployeeSales!C36*1.1)/(Dataset2_EmployeeSales!B36+5)</f>
        <v>756.18888888888898</v>
      </c>
    </row>
    <row r="37" spans="1:4" x14ac:dyDescent="0.2">
      <c r="A37" s="9">
        <f>Dataset2_EmployeeSales!C37/Dataset2_EmployeeSales!B37</f>
        <v>1150</v>
      </c>
      <c r="B37" s="9">
        <f>Dataset2_EmployeeSales!C37/(Dataset2_EmployeeSales!B37+5)</f>
        <v>1019.3181818181819</v>
      </c>
      <c r="C37" s="9">
        <f>Dataset2_EmployeeSales!C37*1.1/Dataset2_EmployeeSales!B37</f>
        <v>1265.0000000000002</v>
      </c>
      <c r="D37" s="9">
        <f>(Dataset2_EmployeeSales!C37*1.1)/(Dataset2_EmployeeSales!B37+5)</f>
        <v>1121.2500000000002</v>
      </c>
    </row>
    <row r="38" spans="1:4" x14ac:dyDescent="0.2">
      <c r="A38" s="9">
        <f>Dataset2_EmployeeSales!C38/Dataset2_EmployeeSales!B38</f>
        <v>1067.1428571428571</v>
      </c>
      <c r="B38" s="9">
        <f>Dataset2_EmployeeSales!C38/(Dataset2_EmployeeSales!B38+5)</f>
        <v>933.75</v>
      </c>
      <c r="C38" s="9">
        <f>Dataset2_EmployeeSales!C38*1.1/Dataset2_EmployeeSales!B38</f>
        <v>1173.8571428571429</v>
      </c>
      <c r="D38" s="9">
        <f>(Dataset2_EmployeeSales!C38*1.1)/(Dataset2_EmployeeSales!B38+5)</f>
        <v>1027.125</v>
      </c>
    </row>
    <row r="39" spans="1:4" x14ac:dyDescent="0.2">
      <c r="A39" s="9">
        <f>Dataset2_EmployeeSales!C39/Dataset2_EmployeeSales!B39</f>
        <v>851.63636363636363</v>
      </c>
      <c r="B39" s="9">
        <f>Dataset2_EmployeeSales!C39/(Dataset2_EmployeeSales!B39+5)</f>
        <v>764.73469387755097</v>
      </c>
      <c r="C39" s="9">
        <f>Dataset2_EmployeeSales!C39*1.1/Dataset2_EmployeeSales!B39</f>
        <v>936.80000000000007</v>
      </c>
      <c r="D39" s="9">
        <f>(Dataset2_EmployeeSales!C39*1.1)/(Dataset2_EmployeeSales!B39+5)</f>
        <v>841.20816326530621</v>
      </c>
    </row>
    <row r="40" spans="1:4" x14ac:dyDescent="0.2">
      <c r="A40" s="9">
        <f>Dataset2_EmployeeSales!C40/Dataset2_EmployeeSales!B40</f>
        <v>969.02499999999998</v>
      </c>
      <c r="B40" s="9">
        <f>Dataset2_EmployeeSales!C40/(Dataset2_EmployeeSales!B40+5)</f>
        <v>861.35555555555561</v>
      </c>
      <c r="C40" s="9">
        <f>Dataset2_EmployeeSales!C40*1.1/Dataset2_EmployeeSales!B40</f>
        <v>1065.9275000000002</v>
      </c>
      <c r="D40" s="9">
        <f>(Dataset2_EmployeeSales!C40*1.1)/(Dataset2_EmployeeSales!B40+5)</f>
        <v>947.49111111111119</v>
      </c>
    </row>
    <row r="41" spans="1:4" x14ac:dyDescent="0.2">
      <c r="A41" s="9">
        <f>Dataset2_EmployeeSales!C41/Dataset2_EmployeeSales!B41</f>
        <v>1039.7352941176471</v>
      </c>
      <c r="B41" s="9">
        <f>Dataset2_EmployeeSales!C41/(Dataset2_EmployeeSales!B41+5)</f>
        <v>906.43589743589746</v>
      </c>
      <c r="C41" s="9">
        <f>Dataset2_EmployeeSales!C41*1.1/Dataset2_EmployeeSales!B41</f>
        <v>1143.708823529412</v>
      </c>
      <c r="D41" s="9">
        <f>(Dataset2_EmployeeSales!C41*1.1)/(Dataset2_EmployeeSales!B41+5)</f>
        <v>997.07948717948727</v>
      </c>
    </row>
    <row r="42" spans="1:4" x14ac:dyDescent="0.2">
      <c r="A42" s="9">
        <f>Dataset2_EmployeeSales!C42/Dataset2_EmployeeSales!B42</f>
        <v>1104.4000000000001</v>
      </c>
      <c r="B42" s="9">
        <f>Dataset2_EmployeeSales!C42/(Dataset2_EmployeeSales!B42+5)</f>
        <v>946.62857142857138</v>
      </c>
      <c r="C42" s="9">
        <f>Dataset2_EmployeeSales!C42*1.1/Dataset2_EmployeeSales!B42</f>
        <v>1214.8400000000001</v>
      </c>
      <c r="D42" s="9">
        <f>(Dataset2_EmployeeSales!C42*1.1)/(Dataset2_EmployeeSales!B42+5)</f>
        <v>1041.2914285714287</v>
      </c>
    </row>
    <row r="43" spans="1:4" x14ac:dyDescent="0.2">
      <c r="A43" s="9">
        <f>Dataset2_EmployeeSales!C43/Dataset2_EmployeeSales!B43</f>
        <v>683.91891891891896</v>
      </c>
      <c r="B43" s="9">
        <f>Dataset2_EmployeeSales!C43/(Dataset2_EmployeeSales!B43+5)</f>
        <v>602.5</v>
      </c>
      <c r="C43" s="9">
        <f>Dataset2_EmployeeSales!C43*1.1/Dataset2_EmployeeSales!B43</f>
        <v>752.31081081081095</v>
      </c>
      <c r="D43" s="9">
        <f>(Dataset2_EmployeeSales!C43*1.1)/(Dataset2_EmployeeSales!B43+5)</f>
        <v>662.75000000000011</v>
      </c>
    </row>
    <row r="44" spans="1:4" x14ac:dyDescent="0.2">
      <c r="A44" s="9">
        <f>Dataset2_EmployeeSales!C44/Dataset2_EmployeeSales!B44</f>
        <v>483.34146341463412</v>
      </c>
      <c r="B44" s="9">
        <f>Dataset2_EmployeeSales!C44/(Dataset2_EmployeeSales!B44+5)</f>
        <v>430.80434782608694</v>
      </c>
      <c r="C44" s="9">
        <f>Dataset2_EmployeeSales!C44*1.1/Dataset2_EmployeeSales!B44</f>
        <v>531.67560975609763</v>
      </c>
      <c r="D44" s="9">
        <f>(Dataset2_EmployeeSales!C44*1.1)/(Dataset2_EmployeeSales!B44+5)</f>
        <v>473.88478260869567</v>
      </c>
    </row>
    <row r="45" spans="1:4" x14ac:dyDescent="0.2">
      <c r="A45" s="9">
        <f>Dataset2_EmployeeSales!C45/Dataset2_EmployeeSales!B45</f>
        <v>518.56097560975604</v>
      </c>
      <c r="B45" s="9">
        <f>Dataset2_EmployeeSales!C45/(Dataset2_EmployeeSales!B45+5)</f>
        <v>462.19565217391306</v>
      </c>
      <c r="C45" s="9">
        <f>Dataset2_EmployeeSales!C45*1.1/Dataset2_EmployeeSales!B45</f>
        <v>570.41707317073178</v>
      </c>
      <c r="D45" s="9">
        <f>(Dataset2_EmployeeSales!C45*1.1)/(Dataset2_EmployeeSales!B45+5)</f>
        <v>508.4152173913044</v>
      </c>
    </row>
    <row r="46" spans="1:4" x14ac:dyDescent="0.2">
      <c r="A46" s="9">
        <f>Dataset2_EmployeeSales!C46/Dataset2_EmployeeSales!B46</f>
        <v>306.38235294117646</v>
      </c>
      <c r="B46" s="9">
        <f>Dataset2_EmployeeSales!C46/(Dataset2_EmployeeSales!B46+5)</f>
        <v>267.10256410256409</v>
      </c>
      <c r="C46" s="9">
        <f>Dataset2_EmployeeSales!C46*1.1/Dataset2_EmployeeSales!B46</f>
        <v>337.02058823529416</v>
      </c>
      <c r="D46" s="9">
        <f>(Dataset2_EmployeeSales!C46*1.1)/(Dataset2_EmployeeSales!B46+5)</f>
        <v>293.81282051282051</v>
      </c>
    </row>
    <row r="47" spans="1:4" x14ac:dyDescent="0.2">
      <c r="A47" s="9">
        <f>Dataset2_EmployeeSales!C47/Dataset2_EmployeeSales!B47</f>
        <v>843.27777777777783</v>
      </c>
      <c r="B47" s="9">
        <f>Dataset2_EmployeeSales!C47/(Dataset2_EmployeeSales!B47+5)</f>
        <v>740.43902439024396</v>
      </c>
      <c r="C47" s="9">
        <f>Dataset2_EmployeeSales!C47*1.1/Dataset2_EmployeeSales!B47</f>
        <v>927.60555555555561</v>
      </c>
      <c r="D47" s="9">
        <f>(Dataset2_EmployeeSales!C47*1.1)/(Dataset2_EmployeeSales!B47+5)</f>
        <v>814.48292682926831</v>
      </c>
    </row>
    <row r="48" spans="1:4" x14ac:dyDescent="0.2">
      <c r="A48" s="9">
        <f>Dataset2_EmployeeSales!C48/Dataset2_EmployeeSales!B48</f>
        <v>402.030303030303</v>
      </c>
      <c r="B48" s="9">
        <f>Dataset2_EmployeeSales!C48/(Dataset2_EmployeeSales!B48+5)</f>
        <v>349.13157894736844</v>
      </c>
      <c r="C48" s="9">
        <f>Dataset2_EmployeeSales!C48*1.1/Dataset2_EmployeeSales!B48</f>
        <v>442.23333333333335</v>
      </c>
      <c r="D48" s="9">
        <f>(Dataset2_EmployeeSales!C48*1.1)/(Dataset2_EmployeeSales!B48+5)</f>
        <v>384.04473684210529</v>
      </c>
    </row>
    <row r="49" spans="1:4" x14ac:dyDescent="0.2">
      <c r="A49" s="9">
        <f>Dataset2_EmployeeSales!C49/Dataset2_EmployeeSales!B49</f>
        <v>777.4</v>
      </c>
      <c r="B49" s="9">
        <f>Dataset2_EmployeeSales!C49/(Dataset2_EmployeeSales!B49+5)</f>
        <v>680.22500000000002</v>
      </c>
      <c r="C49" s="9">
        <f>Dataset2_EmployeeSales!C49*1.1/Dataset2_EmployeeSales!B49</f>
        <v>855.14</v>
      </c>
      <c r="D49" s="9">
        <f>(Dataset2_EmployeeSales!C49*1.1)/(Dataset2_EmployeeSales!B49+5)</f>
        <v>748.24750000000006</v>
      </c>
    </row>
    <row r="50" spans="1:4" x14ac:dyDescent="0.2">
      <c r="A50" s="9">
        <f>Dataset2_EmployeeSales!C50/Dataset2_EmployeeSales!B50</f>
        <v>810.76190476190482</v>
      </c>
      <c r="B50" s="9">
        <f>Dataset2_EmployeeSales!C50/(Dataset2_EmployeeSales!B50+5)</f>
        <v>724.51063829787233</v>
      </c>
      <c r="C50" s="9">
        <f>Dataset2_EmployeeSales!C50*1.1/Dataset2_EmployeeSales!B50</f>
        <v>891.83809523809532</v>
      </c>
      <c r="D50" s="9">
        <f>(Dataset2_EmployeeSales!C50*1.1)/(Dataset2_EmployeeSales!B50+5)</f>
        <v>796.96170212765969</v>
      </c>
    </row>
    <row r="51" spans="1:4" x14ac:dyDescent="0.2">
      <c r="A51" s="9">
        <f>Dataset2_EmployeeSales!C51/Dataset2_EmployeeSales!B51</f>
        <v>990.0612244897959</v>
      </c>
      <c r="B51" s="9">
        <f>Dataset2_EmployeeSales!C51/(Dataset2_EmployeeSales!B51+5)</f>
        <v>898.38888888888891</v>
      </c>
      <c r="C51" s="9">
        <f>Dataset2_EmployeeSales!C51*1.1/Dataset2_EmployeeSales!B51</f>
        <v>1089.0673469387755</v>
      </c>
      <c r="D51" s="9">
        <f>(Dataset2_EmployeeSales!C51*1.1)/(Dataset2_EmployeeSales!B51+5)</f>
        <v>988.22777777777787</v>
      </c>
    </row>
    <row r="52" spans="1:4" x14ac:dyDescent="0.2">
      <c r="A52" s="9">
        <f>Dataset2_EmployeeSales!C52/Dataset2_EmployeeSales!B52</f>
        <v>820.27272727272725</v>
      </c>
      <c r="B52" s="9">
        <f>Dataset2_EmployeeSales!C52/(Dataset2_EmployeeSales!B52+5)</f>
        <v>736.57142857142856</v>
      </c>
      <c r="C52" s="9">
        <f>Dataset2_EmployeeSales!C52*1.1/Dataset2_EmployeeSales!B52</f>
        <v>902.30000000000007</v>
      </c>
      <c r="D52" s="9">
        <f>(Dataset2_EmployeeSales!C52*1.1)/(Dataset2_EmployeeSales!B52+5)</f>
        <v>810.22857142857151</v>
      </c>
    </row>
    <row r="53" spans="1:4" x14ac:dyDescent="0.2">
      <c r="A53" s="9">
        <f>Dataset2_EmployeeSales!C53/Dataset2_EmployeeSales!B53</f>
        <v>666.8125</v>
      </c>
      <c r="B53" s="9">
        <f>Dataset2_EmployeeSales!C53/(Dataset2_EmployeeSales!B53+5)</f>
        <v>576.70270270270271</v>
      </c>
      <c r="C53" s="9">
        <f>Dataset2_EmployeeSales!C53*1.1/Dataset2_EmployeeSales!B53</f>
        <v>733.49375000000009</v>
      </c>
      <c r="D53" s="9">
        <f>(Dataset2_EmployeeSales!C53*1.1)/(Dataset2_EmployeeSales!B53+5)</f>
        <v>634.372972972973</v>
      </c>
    </row>
    <row r="54" spans="1:4" x14ac:dyDescent="0.2">
      <c r="A54" s="9">
        <f>Dataset2_EmployeeSales!C54/Dataset2_EmployeeSales!B54</f>
        <v>281.40540540540542</v>
      </c>
      <c r="B54" s="9">
        <f>Dataset2_EmployeeSales!C54/(Dataset2_EmployeeSales!B54+5)</f>
        <v>247.9047619047619</v>
      </c>
      <c r="C54" s="9">
        <f>Dataset2_EmployeeSales!C54*1.1/Dataset2_EmployeeSales!B54</f>
        <v>309.54594594594596</v>
      </c>
      <c r="D54" s="9">
        <f>(Dataset2_EmployeeSales!C54*1.1)/(Dataset2_EmployeeSales!B54+5)</f>
        <v>272.6952380952381</v>
      </c>
    </row>
    <row r="55" spans="1:4" x14ac:dyDescent="0.2">
      <c r="A55" s="9">
        <f>Dataset2_EmployeeSales!C55/Dataset2_EmployeeSales!B55</f>
        <v>358.0204081632653</v>
      </c>
      <c r="B55" s="9">
        <f>Dataset2_EmployeeSales!C55/(Dataset2_EmployeeSales!B55+5)</f>
        <v>324.87037037037038</v>
      </c>
      <c r="C55" s="9">
        <f>Dataset2_EmployeeSales!C55*1.1/Dataset2_EmployeeSales!B55</f>
        <v>393.82244897959191</v>
      </c>
      <c r="D55" s="9">
        <f>(Dataset2_EmployeeSales!C55*1.1)/(Dataset2_EmployeeSales!B55+5)</f>
        <v>357.35740740740744</v>
      </c>
    </row>
    <row r="56" spans="1:4" x14ac:dyDescent="0.2">
      <c r="A56" s="9">
        <f>Dataset2_EmployeeSales!C56/Dataset2_EmployeeSales!B56</f>
        <v>966.57777777777778</v>
      </c>
      <c r="B56" s="9">
        <f>Dataset2_EmployeeSales!C56/(Dataset2_EmployeeSales!B56+5)</f>
        <v>869.92</v>
      </c>
      <c r="C56" s="9">
        <f>Dataset2_EmployeeSales!C56*1.1/Dataset2_EmployeeSales!B56</f>
        <v>1063.2355555555557</v>
      </c>
      <c r="D56" s="9">
        <f>(Dataset2_EmployeeSales!C56*1.1)/(Dataset2_EmployeeSales!B56+5)</f>
        <v>956.91200000000015</v>
      </c>
    </row>
    <row r="57" spans="1:4" x14ac:dyDescent="0.2">
      <c r="A57" s="9">
        <f>Dataset2_EmployeeSales!C57/Dataset2_EmployeeSales!B57</f>
        <v>798.76190476190482</v>
      </c>
      <c r="B57" s="9">
        <f>Dataset2_EmployeeSales!C57/(Dataset2_EmployeeSales!B57+5)</f>
        <v>713.78723404255322</v>
      </c>
      <c r="C57" s="9">
        <f>Dataset2_EmployeeSales!C57*1.1/Dataset2_EmployeeSales!B57</f>
        <v>878.63809523809527</v>
      </c>
      <c r="D57" s="9">
        <f>(Dataset2_EmployeeSales!C57*1.1)/(Dataset2_EmployeeSales!B57+5)</f>
        <v>785.16595744680853</v>
      </c>
    </row>
    <row r="58" spans="1:4" x14ac:dyDescent="0.2">
      <c r="A58" s="9">
        <f>Dataset2_EmployeeSales!C58/Dataset2_EmployeeSales!B58</f>
        <v>795.40425531914889</v>
      </c>
      <c r="B58" s="9">
        <f>Dataset2_EmployeeSales!C58/(Dataset2_EmployeeSales!B58+5)</f>
        <v>718.92307692307691</v>
      </c>
      <c r="C58" s="9">
        <f>Dataset2_EmployeeSales!C58*1.1/Dataset2_EmployeeSales!B58</f>
        <v>874.94468085106382</v>
      </c>
      <c r="D58" s="9">
        <f>(Dataset2_EmployeeSales!C58*1.1)/(Dataset2_EmployeeSales!B58+5)</f>
        <v>790.81538461538469</v>
      </c>
    </row>
    <row r="59" spans="1:4" x14ac:dyDescent="0.2">
      <c r="A59" s="9">
        <f>Dataset2_EmployeeSales!C59/Dataset2_EmployeeSales!B59</f>
        <v>1250.1538461538462</v>
      </c>
      <c r="B59" s="9">
        <f>Dataset2_EmployeeSales!C59/(Dataset2_EmployeeSales!B59+5)</f>
        <v>1108.090909090909</v>
      </c>
      <c r="C59" s="9">
        <f>Dataset2_EmployeeSales!C59*1.1/Dataset2_EmployeeSales!B59</f>
        <v>1375.1692307692308</v>
      </c>
      <c r="D59" s="9">
        <f>(Dataset2_EmployeeSales!C59*1.1)/(Dataset2_EmployeeSales!B59+5)</f>
        <v>1218.9000000000001</v>
      </c>
    </row>
    <row r="60" spans="1:4" x14ac:dyDescent="0.2">
      <c r="A60" s="9">
        <f>Dataset2_EmployeeSales!C60/Dataset2_EmployeeSales!B60</f>
        <v>601.83333333333337</v>
      </c>
      <c r="B60" s="9">
        <f>Dataset2_EmployeeSales!C60/(Dataset2_EmployeeSales!B60+5)</f>
        <v>545.05660377358492</v>
      </c>
      <c r="C60" s="9">
        <f>Dataset2_EmployeeSales!C60*1.1/Dataset2_EmployeeSales!B60</f>
        <v>662.01666666666677</v>
      </c>
      <c r="D60" s="9">
        <f>(Dataset2_EmployeeSales!C60*1.1)/(Dataset2_EmployeeSales!B60+5)</f>
        <v>599.56226415094341</v>
      </c>
    </row>
    <row r="61" spans="1:4" x14ac:dyDescent="0.2">
      <c r="A61" s="9">
        <f>Dataset2_EmployeeSales!C61/Dataset2_EmployeeSales!B61</f>
        <v>994.23913043478262</v>
      </c>
      <c r="B61" s="9">
        <f>Dataset2_EmployeeSales!C61/(Dataset2_EmployeeSales!B61+5)</f>
        <v>896.76470588235293</v>
      </c>
      <c r="C61" s="9">
        <f>Dataset2_EmployeeSales!C61*1.1/Dataset2_EmployeeSales!B61</f>
        <v>1093.663043478261</v>
      </c>
      <c r="D61" s="9">
        <f>(Dataset2_EmployeeSales!C61*1.1)/(Dataset2_EmployeeSales!B61+5)</f>
        <v>986.4411764705884</v>
      </c>
    </row>
    <row r="62" spans="1:4" x14ac:dyDescent="0.2">
      <c r="A62" s="9">
        <f>Dataset2_EmployeeSales!C62/Dataset2_EmployeeSales!B62</f>
        <v>573.04166666666663</v>
      </c>
      <c r="B62" s="9">
        <f>Dataset2_EmployeeSales!C62/(Dataset2_EmployeeSales!B62+5)</f>
        <v>518.98113207547169</v>
      </c>
      <c r="C62" s="9">
        <f>Dataset2_EmployeeSales!C62*1.1/Dataset2_EmployeeSales!B62</f>
        <v>630.34583333333342</v>
      </c>
      <c r="D62" s="9">
        <f>(Dataset2_EmployeeSales!C62*1.1)/(Dataset2_EmployeeSales!B62+5)</f>
        <v>570.87924528301892</v>
      </c>
    </row>
    <row r="63" spans="1:4" x14ac:dyDescent="0.2">
      <c r="A63" s="9">
        <f>Dataset2_EmployeeSales!C63/Dataset2_EmployeeSales!B63</f>
        <v>895.97058823529414</v>
      </c>
      <c r="B63" s="9">
        <f>Dataset2_EmployeeSales!C63/(Dataset2_EmployeeSales!B63+5)</f>
        <v>781.10256410256409</v>
      </c>
      <c r="C63" s="9">
        <f>Dataset2_EmployeeSales!C63*1.1/Dataset2_EmployeeSales!B63</f>
        <v>985.56764705882358</v>
      </c>
      <c r="D63" s="9">
        <f>(Dataset2_EmployeeSales!C63*1.1)/(Dataset2_EmployeeSales!B63+5)</f>
        <v>859.2128205128206</v>
      </c>
    </row>
    <row r="64" spans="1:4" x14ac:dyDescent="0.2">
      <c r="A64" s="9">
        <f>Dataset2_EmployeeSales!C64/Dataset2_EmployeeSales!B64</f>
        <v>735.65789473684208</v>
      </c>
      <c r="B64" s="9">
        <f>Dataset2_EmployeeSales!C64/(Dataset2_EmployeeSales!B64+5)</f>
        <v>650.11627906976742</v>
      </c>
      <c r="C64" s="9">
        <f>Dataset2_EmployeeSales!C64*1.1/Dataset2_EmployeeSales!B64</f>
        <v>809.22368421052636</v>
      </c>
      <c r="D64" s="9">
        <f>(Dataset2_EmployeeSales!C64*1.1)/(Dataset2_EmployeeSales!B64+5)</f>
        <v>715.12790697674427</v>
      </c>
    </row>
    <row r="65" spans="1:4" x14ac:dyDescent="0.2">
      <c r="A65" s="9">
        <f>Dataset2_EmployeeSales!C65/Dataset2_EmployeeSales!B65</f>
        <v>1166.8536585365853</v>
      </c>
      <c r="B65" s="9">
        <f>Dataset2_EmployeeSales!C65/(Dataset2_EmployeeSales!B65+5)</f>
        <v>1040.0217391304348</v>
      </c>
      <c r="C65" s="9">
        <f>Dataset2_EmployeeSales!C65*1.1/Dataset2_EmployeeSales!B65</f>
        <v>1283.5390243902441</v>
      </c>
      <c r="D65" s="9">
        <f>(Dataset2_EmployeeSales!C65*1.1)/(Dataset2_EmployeeSales!B65+5)</f>
        <v>1144.0239130434784</v>
      </c>
    </row>
    <row r="66" spans="1:4" x14ac:dyDescent="0.2">
      <c r="A66" s="9">
        <f>Dataset2_EmployeeSales!C66/Dataset2_EmployeeSales!B66</f>
        <v>503.46666666666664</v>
      </c>
      <c r="B66" s="9">
        <f>Dataset2_EmployeeSales!C66/(Dataset2_EmployeeSales!B66+5)</f>
        <v>431.54285714285714</v>
      </c>
      <c r="C66" s="9">
        <f>Dataset2_EmployeeSales!C66*1.1/Dataset2_EmployeeSales!B66</f>
        <v>553.81333333333339</v>
      </c>
      <c r="D66" s="9">
        <f>(Dataset2_EmployeeSales!C66*1.1)/(Dataset2_EmployeeSales!B66+5)</f>
        <v>474.69714285714292</v>
      </c>
    </row>
    <row r="67" spans="1:4" x14ac:dyDescent="0.2">
      <c r="A67" s="9">
        <f>Dataset2_EmployeeSales!C67/Dataset2_EmployeeSales!B67</f>
        <v>1497.0333333333333</v>
      </c>
      <c r="B67" s="9">
        <f>Dataset2_EmployeeSales!C67/(Dataset2_EmployeeSales!B67+5)</f>
        <v>1283.1714285714286</v>
      </c>
      <c r="C67" s="9">
        <f>Dataset2_EmployeeSales!C67*1.1/Dataset2_EmployeeSales!B67</f>
        <v>1646.7366666666669</v>
      </c>
      <c r="D67" s="9">
        <f>(Dataset2_EmployeeSales!C67*1.1)/(Dataset2_EmployeeSales!B67+5)</f>
        <v>1411.4885714285715</v>
      </c>
    </row>
    <row r="68" spans="1:4" x14ac:dyDescent="0.2">
      <c r="A68" s="9">
        <f>Dataset2_EmployeeSales!C68/Dataset2_EmployeeSales!B68</f>
        <v>754.31818181818187</v>
      </c>
      <c r="B68" s="9">
        <f>Dataset2_EmployeeSales!C68/(Dataset2_EmployeeSales!B68+5)</f>
        <v>677.34693877551024</v>
      </c>
      <c r="C68" s="9">
        <f>Dataset2_EmployeeSales!C68*1.1/Dataset2_EmployeeSales!B68</f>
        <v>829.75</v>
      </c>
      <c r="D68" s="9">
        <f>(Dataset2_EmployeeSales!C68*1.1)/(Dataset2_EmployeeSales!B68+5)</f>
        <v>745.08163265306121</v>
      </c>
    </row>
    <row r="69" spans="1:4" x14ac:dyDescent="0.2">
      <c r="A69" s="9">
        <f>Dataset2_EmployeeSales!C69/Dataset2_EmployeeSales!B69</f>
        <v>559.90322580645159</v>
      </c>
      <c r="B69" s="9">
        <f>Dataset2_EmployeeSales!C69/(Dataset2_EmployeeSales!B69+5)</f>
        <v>482.13888888888891</v>
      </c>
      <c r="C69" s="9">
        <f>Dataset2_EmployeeSales!C69*1.1/Dataset2_EmployeeSales!B69</f>
        <v>615.89354838709676</v>
      </c>
      <c r="D69" s="9">
        <f>(Dataset2_EmployeeSales!C69*1.1)/(Dataset2_EmployeeSales!B69+5)</f>
        <v>530.35277777777776</v>
      </c>
    </row>
    <row r="70" spans="1:4" x14ac:dyDescent="0.2">
      <c r="A70" s="9">
        <f>Dataset2_EmployeeSales!C70/Dataset2_EmployeeSales!B70</f>
        <v>943.97777777777776</v>
      </c>
      <c r="B70" s="9">
        <f>Dataset2_EmployeeSales!C70/(Dataset2_EmployeeSales!B70+5)</f>
        <v>849.58</v>
      </c>
      <c r="C70" s="9">
        <f>Dataset2_EmployeeSales!C70*1.1/Dataset2_EmployeeSales!B70</f>
        <v>1038.3755555555556</v>
      </c>
      <c r="D70" s="9">
        <f>(Dataset2_EmployeeSales!C70*1.1)/(Dataset2_EmployeeSales!B70+5)</f>
        <v>934.53800000000001</v>
      </c>
    </row>
    <row r="71" spans="1:4" x14ac:dyDescent="0.2">
      <c r="A71" s="9">
        <f>Dataset2_EmployeeSales!C71/Dataset2_EmployeeSales!B71</f>
        <v>1248.8648648648648</v>
      </c>
      <c r="B71" s="9">
        <f>Dataset2_EmployeeSales!C71/(Dataset2_EmployeeSales!B71+5)</f>
        <v>1100.1904761904761</v>
      </c>
      <c r="C71" s="9">
        <f>Dataset2_EmployeeSales!C71*1.1/Dataset2_EmployeeSales!B71</f>
        <v>1373.7513513513513</v>
      </c>
      <c r="D71" s="9">
        <f>(Dataset2_EmployeeSales!C71*1.1)/(Dataset2_EmployeeSales!B71+5)</f>
        <v>1210.2095238095239</v>
      </c>
    </row>
    <row r="72" spans="1:4" x14ac:dyDescent="0.2">
      <c r="A72" s="9">
        <f>Dataset2_EmployeeSales!C72/Dataset2_EmployeeSales!B72</f>
        <v>717.85714285714289</v>
      </c>
      <c r="B72" s="9">
        <f>Dataset2_EmployeeSales!C72/(Dataset2_EmployeeSales!B72+5)</f>
        <v>641.48936170212767</v>
      </c>
      <c r="C72" s="9">
        <f>Dataset2_EmployeeSales!C72*1.1/Dataset2_EmployeeSales!B72</f>
        <v>789.64285714285711</v>
      </c>
      <c r="D72" s="9">
        <f>(Dataset2_EmployeeSales!C72*1.1)/(Dataset2_EmployeeSales!B72+5)</f>
        <v>705.63829787234044</v>
      </c>
    </row>
    <row r="73" spans="1:4" x14ac:dyDescent="0.2">
      <c r="A73" s="9">
        <f>Dataset2_EmployeeSales!C73/Dataset2_EmployeeSales!B73</f>
        <v>521.4666666666667</v>
      </c>
      <c r="B73" s="9">
        <f>Dataset2_EmployeeSales!C73/(Dataset2_EmployeeSales!B73+5)</f>
        <v>446.97142857142859</v>
      </c>
      <c r="C73" s="9">
        <f>Dataset2_EmployeeSales!C73*1.1/Dataset2_EmployeeSales!B73</f>
        <v>573.61333333333334</v>
      </c>
      <c r="D73" s="9">
        <f>(Dataset2_EmployeeSales!C73*1.1)/(Dataset2_EmployeeSales!B73+5)</f>
        <v>491.66857142857145</v>
      </c>
    </row>
    <row r="74" spans="1:4" x14ac:dyDescent="0.2">
      <c r="A74" s="9">
        <f>Dataset2_EmployeeSales!C74/Dataset2_EmployeeSales!B74</f>
        <v>286.97777777777776</v>
      </c>
      <c r="B74" s="9">
        <f>Dataset2_EmployeeSales!C74/(Dataset2_EmployeeSales!B74+5)</f>
        <v>258.27999999999997</v>
      </c>
      <c r="C74" s="9">
        <f>Dataset2_EmployeeSales!C74*1.1/Dataset2_EmployeeSales!B74</f>
        <v>315.6755555555556</v>
      </c>
      <c r="D74" s="9">
        <f>(Dataset2_EmployeeSales!C74*1.1)/(Dataset2_EmployeeSales!B74+5)</f>
        <v>284.108</v>
      </c>
    </row>
    <row r="75" spans="1:4" x14ac:dyDescent="0.2">
      <c r="A75" s="9">
        <f>Dataset2_EmployeeSales!C75/Dataset2_EmployeeSales!B75</f>
        <v>870.88888888888891</v>
      </c>
      <c r="B75" s="9">
        <f>Dataset2_EmployeeSales!C75/(Dataset2_EmployeeSales!B75+5)</f>
        <v>764.68292682926824</v>
      </c>
      <c r="C75" s="9">
        <f>Dataset2_EmployeeSales!C75*1.1/Dataset2_EmployeeSales!B75</f>
        <v>957.97777777777787</v>
      </c>
      <c r="D75" s="9">
        <f>(Dataset2_EmployeeSales!C75*1.1)/(Dataset2_EmployeeSales!B75+5)</f>
        <v>841.15121951219521</v>
      </c>
    </row>
    <row r="76" spans="1:4" x14ac:dyDescent="0.2">
      <c r="A76" s="9">
        <f>Dataset2_EmployeeSales!C76/Dataset2_EmployeeSales!B76</f>
        <v>717.55882352941171</v>
      </c>
      <c r="B76" s="9">
        <f>Dataset2_EmployeeSales!C76/(Dataset2_EmployeeSales!B76+5)</f>
        <v>625.56410256410254</v>
      </c>
      <c r="C76" s="9">
        <f>Dataset2_EmployeeSales!C76*1.1/Dataset2_EmployeeSales!B76</f>
        <v>789.314705882353</v>
      </c>
      <c r="D76" s="9">
        <f>(Dataset2_EmployeeSales!C76*1.1)/(Dataset2_EmployeeSales!B76+5)</f>
        <v>688.12051282051289</v>
      </c>
    </row>
    <row r="77" spans="1:4" x14ac:dyDescent="0.2">
      <c r="A77" s="9">
        <f>Dataset2_EmployeeSales!C77/Dataset2_EmployeeSales!B77</f>
        <v>335.25</v>
      </c>
      <c r="B77" s="9">
        <f>Dataset2_EmployeeSales!C77/(Dataset2_EmployeeSales!B77+5)</f>
        <v>289.94594594594594</v>
      </c>
      <c r="C77" s="9">
        <f>Dataset2_EmployeeSales!C77*1.1/Dataset2_EmployeeSales!B77</f>
        <v>368.77500000000003</v>
      </c>
      <c r="D77" s="9">
        <f>(Dataset2_EmployeeSales!C77*1.1)/(Dataset2_EmployeeSales!B77+5)</f>
        <v>318.94054054054055</v>
      </c>
    </row>
    <row r="78" spans="1:4" x14ac:dyDescent="0.2">
      <c r="A78" s="9">
        <f>Dataset2_EmployeeSales!C78/Dataset2_EmployeeSales!B78</f>
        <v>260.92682926829269</v>
      </c>
      <c r="B78" s="9">
        <f>Dataset2_EmployeeSales!C78/(Dataset2_EmployeeSales!B78+5)</f>
        <v>232.56521739130434</v>
      </c>
      <c r="C78" s="9">
        <f>Dataset2_EmployeeSales!C78*1.1/Dataset2_EmployeeSales!B78</f>
        <v>287.01951219512199</v>
      </c>
      <c r="D78" s="9">
        <f>(Dataset2_EmployeeSales!C78*1.1)/(Dataset2_EmployeeSales!B78+5)</f>
        <v>255.82173913043479</v>
      </c>
    </row>
    <row r="79" spans="1:4" x14ac:dyDescent="0.2">
      <c r="A79" s="9">
        <f>Dataset2_EmployeeSales!C79/Dataset2_EmployeeSales!B79</f>
        <v>1110.088888888889</v>
      </c>
      <c r="B79" s="9">
        <f>Dataset2_EmployeeSales!C79/(Dataset2_EmployeeSales!B79+5)</f>
        <v>999.08</v>
      </c>
      <c r="C79" s="9">
        <f>Dataset2_EmployeeSales!C79*1.1/Dataset2_EmployeeSales!B79</f>
        <v>1221.0977777777778</v>
      </c>
      <c r="D79" s="9">
        <f>(Dataset2_EmployeeSales!C79*1.1)/(Dataset2_EmployeeSales!B79+5)</f>
        <v>1098.9880000000001</v>
      </c>
    </row>
    <row r="80" spans="1:4" x14ac:dyDescent="0.2">
      <c r="A80" s="9">
        <f>Dataset2_EmployeeSales!C80/Dataset2_EmployeeSales!B80</f>
        <v>498.39583333333331</v>
      </c>
      <c r="B80" s="9">
        <f>Dataset2_EmployeeSales!C80/(Dataset2_EmployeeSales!B80+5)</f>
        <v>451.37735849056605</v>
      </c>
      <c r="C80" s="9">
        <f>Dataset2_EmployeeSales!C80*1.1/Dataset2_EmployeeSales!B80</f>
        <v>548.23541666666677</v>
      </c>
      <c r="D80" s="9">
        <f>(Dataset2_EmployeeSales!C80*1.1)/(Dataset2_EmployeeSales!B80+5)</f>
        <v>496.51509433962269</v>
      </c>
    </row>
    <row r="81" spans="1:4" x14ac:dyDescent="0.2">
      <c r="A81" s="9">
        <f>Dataset2_EmployeeSales!C81/Dataset2_EmployeeSales!B81</f>
        <v>787.61764705882354</v>
      </c>
      <c r="B81" s="9">
        <f>Dataset2_EmployeeSales!C81/(Dataset2_EmployeeSales!B81+5)</f>
        <v>686.64102564102564</v>
      </c>
      <c r="C81" s="9">
        <f>Dataset2_EmployeeSales!C81*1.1/Dataset2_EmployeeSales!B81</f>
        <v>866.37941176470588</v>
      </c>
      <c r="D81" s="9">
        <f>(Dataset2_EmployeeSales!C81*1.1)/(Dataset2_EmployeeSales!B81+5)</f>
        <v>755.3051282051282</v>
      </c>
    </row>
    <row r="82" spans="1:4" x14ac:dyDescent="0.2">
      <c r="A82" s="9">
        <f>Dataset2_EmployeeSales!C82/Dataset2_EmployeeSales!B82</f>
        <v>404.6511627906977</v>
      </c>
      <c r="B82" s="9">
        <f>Dataset2_EmployeeSales!C82/(Dataset2_EmployeeSales!B82+5)</f>
        <v>362.5</v>
      </c>
      <c r="C82" s="9">
        <f>Dataset2_EmployeeSales!C82*1.1/Dataset2_EmployeeSales!B82</f>
        <v>445.11627906976742</v>
      </c>
      <c r="D82" s="9">
        <f>(Dataset2_EmployeeSales!C82*1.1)/(Dataset2_EmployeeSales!B82+5)</f>
        <v>398.75</v>
      </c>
    </row>
    <row r="83" spans="1:4" x14ac:dyDescent="0.2">
      <c r="A83" s="9">
        <f>Dataset2_EmployeeSales!C83/Dataset2_EmployeeSales!B83</f>
        <v>1013.7058823529412</v>
      </c>
      <c r="B83" s="9">
        <f>Dataset2_EmployeeSales!C83/(Dataset2_EmployeeSales!B83+5)</f>
        <v>883.74358974358972</v>
      </c>
      <c r="C83" s="9">
        <f>Dataset2_EmployeeSales!C83*1.1/Dataset2_EmployeeSales!B83</f>
        <v>1115.0764705882355</v>
      </c>
      <c r="D83" s="9">
        <f>(Dataset2_EmployeeSales!C83*1.1)/(Dataset2_EmployeeSales!B83+5)</f>
        <v>972.11794871794882</v>
      </c>
    </row>
    <row r="84" spans="1:4" x14ac:dyDescent="0.2">
      <c r="A84" s="9">
        <f>Dataset2_EmployeeSales!C84/Dataset2_EmployeeSales!B84</f>
        <v>1066.7954545454545</v>
      </c>
      <c r="B84" s="9">
        <f>Dataset2_EmployeeSales!C84/(Dataset2_EmployeeSales!B84+5)</f>
        <v>957.9387755102041</v>
      </c>
      <c r="C84" s="9">
        <f>Dataset2_EmployeeSales!C84*1.1/Dataset2_EmployeeSales!B84</f>
        <v>1173.4750000000001</v>
      </c>
      <c r="D84" s="9">
        <f>(Dataset2_EmployeeSales!C84*1.1)/(Dataset2_EmployeeSales!B84+5)</f>
        <v>1053.7326530612245</v>
      </c>
    </row>
    <row r="85" spans="1:4" x14ac:dyDescent="0.2">
      <c r="A85" s="9">
        <f>Dataset2_EmployeeSales!C85/Dataset2_EmployeeSales!B85</f>
        <v>312.17391304347825</v>
      </c>
      <c r="B85" s="9">
        <f>Dataset2_EmployeeSales!C85/(Dataset2_EmployeeSales!B85+5)</f>
        <v>281.56862745098039</v>
      </c>
      <c r="C85" s="9">
        <f>Dataset2_EmployeeSales!C85*1.1/Dataset2_EmployeeSales!B85</f>
        <v>343.39130434782612</v>
      </c>
      <c r="D85" s="9">
        <f>(Dataset2_EmployeeSales!C85*1.1)/(Dataset2_EmployeeSales!B85+5)</f>
        <v>309.72549019607845</v>
      </c>
    </row>
    <row r="86" spans="1:4" x14ac:dyDescent="0.2">
      <c r="A86" s="9">
        <f>Dataset2_EmployeeSales!C86/Dataset2_EmployeeSales!B86</f>
        <v>1052.7906976744187</v>
      </c>
      <c r="B86" s="9">
        <f>Dataset2_EmployeeSales!C86/(Dataset2_EmployeeSales!B86+5)</f>
        <v>943.125</v>
      </c>
      <c r="C86" s="9">
        <f>Dataset2_EmployeeSales!C86*1.1/Dataset2_EmployeeSales!B86</f>
        <v>1158.0697674418607</v>
      </c>
      <c r="D86" s="9">
        <f>(Dataset2_EmployeeSales!C86*1.1)/(Dataset2_EmployeeSales!B86+5)</f>
        <v>1037.4375000000002</v>
      </c>
    </row>
    <row r="87" spans="1:4" x14ac:dyDescent="0.2">
      <c r="A87" s="9">
        <f>Dataset2_EmployeeSales!C87/Dataset2_EmployeeSales!B87</f>
        <v>553.08163265306121</v>
      </c>
      <c r="B87" s="9">
        <f>Dataset2_EmployeeSales!C87/(Dataset2_EmployeeSales!B87+5)</f>
        <v>501.87037037037038</v>
      </c>
      <c r="C87" s="9">
        <f>Dataset2_EmployeeSales!C87*1.1/Dataset2_EmployeeSales!B87</f>
        <v>608.38979591836744</v>
      </c>
      <c r="D87" s="9">
        <f>(Dataset2_EmployeeSales!C87*1.1)/(Dataset2_EmployeeSales!B87+5)</f>
        <v>552.05740740740748</v>
      </c>
    </row>
    <row r="88" spans="1:4" x14ac:dyDescent="0.2">
      <c r="A88" s="9">
        <f>Dataset2_EmployeeSales!C88/Dataset2_EmployeeSales!B88</f>
        <v>1244.3235294117646</v>
      </c>
      <c r="B88" s="9">
        <f>Dataset2_EmployeeSales!C88/(Dataset2_EmployeeSales!B88+5)</f>
        <v>1084.7948717948718</v>
      </c>
      <c r="C88" s="9">
        <f>Dataset2_EmployeeSales!C88*1.1/Dataset2_EmployeeSales!B88</f>
        <v>1368.7558823529414</v>
      </c>
      <c r="D88" s="9">
        <f>(Dataset2_EmployeeSales!C88*1.1)/(Dataset2_EmployeeSales!B88+5)</f>
        <v>1193.2743589743591</v>
      </c>
    </row>
    <row r="89" spans="1:4" x14ac:dyDescent="0.2">
      <c r="A89" s="9">
        <f>Dataset2_EmployeeSales!C89/Dataset2_EmployeeSales!B89</f>
        <v>377.70731707317071</v>
      </c>
      <c r="B89" s="9">
        <f>Dataset2_EmployeeSales!C89/(Dataset2_EmployeeSales!B89+5)</f>
        <v>336.6521739130435</v>
      </c>
      <c r="C89" s="9">
        <f>Dataset2_EmployeeSales!C89*1.1/Dataset2_EmployeeSales!B89</f>
        <v>415.47804878048788</v>
      </c>
      <c r="D89" s="9">
        <f>(Dataset2_EmployeeSales!C89*1.1)/(Dataset2_EmployeeSales!B89+5)</f>
        <v>370.31739130434789</v>
      </c>
    </row>
    <row r="90" spans="1:4" x14ac:dyDescent="0.2">
      <c r="A90" s="9">
        <f>Dataset2_EmployeeSales!C90/Dataset2_EmployeeSales!B90</f>
        <v>407.44444444444446</v>
      </c>
      <c r="B90" s="9">
        <f>Dataset2_EmployeeSales!C90/(Dataset2_EmployeeSales!B90+5)</f>
        <v>366.7</v>
      </c>
      <c r="C90" s="9">
        <f>Dataset2_EmployeeSales!C90*1.1/Dataset2_EmployeeSales!B90</f>
        <v>448.18888888888887</v>
      </c>
      <c r="D90" s="9">
        <f>(Dataset2_EmployeeSales!C90*1.1)/(Dataset2_EmployeeSales!B90+5)</f>
        <v>403.37</v>
      </c>
    </row>
    <row r="91" spans="1:4" x14ac:dyDescent="0.2">
      <c r="A91" s="9">
        <f>Dataset2_EmployeeSales!C91/Dataset2_EmployeeSales!B91</f>
        <v>696.97777777777776</v>
      </c>
      <c r="B91" s="9">
        <f>Dataset2_EmployeeSales!C91/(Dataset2_EmployeeSales!B91+5)</f>
        <v>627.28</v>
      </c>
      <c r="C91" s="9">
        <f>Dataset2_EmployeeSales!C91*1.1/Dataset2_EmployeeSales!B91</f>
        <v>766.67555555555555</v>
      </c>
      <c r="D91" s="9">
        <f>(Dataset2_EmployeeSales!C91*1.1)/(Dataset2_EmployeeSales!B91+5)</f>
        <v>690.00800000000004</v>
      </c>
    </row>
    <row r="92" spans="1:4" x14ac:dyDescent="0.2">
      <c r="A92" s="9">
        <f>Dataset2_EmployeeSales!C92/Dataset2_EmployeeSales!B92</f>
        <v>1312.75</v>
      </c>
      <c r="B92" s="9">
        <f>Dataset2_EmployeeSales!C92/(Dataset2_EmployeeSales!B92+5)</f>
        <v>1152.6585365853659</v>
      </c>
      <c r="C92" s="9">
        <f>Dataset2_EmployeeSales!C92*1.1/Dataset2_EmployeeSales!B92</f>
        <v>1444.0250000000001</v>
      </c>
      <c r="D92" s="9">
        <f>(Dataset2_EmployeeSales!C92*1.1)/(Dataset2_EmployeeSales!B92+5)</f>
        <v>1267.9243902439025</v>
      </c>
    </row>
    <row r="93" spans="1:4" x14ac:dyDescent="0.2">
      <c r="A93" s="9">
        <f>Dataset2_EmployeeSales!C93/Dataset2_EmployeeSales!B93</f>
        <v>1017.4545454545455</v>
      </c>
      <c r="B93" s="9">
        <f>Dataset2_EmployeeSales!C93/(Dataset2_EmployeeSales!B93+5)</f>
        <v>883.57894736842104</v>
      </c>
      <c r="C93" s="9">
        <f>Dataset2_EmployeeSales!C93*1.1/Dataset2_EmployeeSales!B93</f>
        <v>1119.2000000000003</v>
      </c>
      <c r="D93" s="9">
        <f>(Dataset2_EmployeeSales!C93*1.1)/(Dataset2_EmployeeSales!B93+5)</f>
        <v>971.93684210526328</v>
      </c>
    </row>
    <row r="94" spans="1:4" x14ac:dyDescent="0.2">
      <c r="A94" s="9">
        <f>Dataset2_EmployeeSales!C94/Dataset2_EmployeeSales!B94</f>
        <v>1388.9</v>
      </c>
      <c r="B94" s="9">
        <f>Dataset2_EmployeeSales!C94/(Dataset2_EmployeeSales!B94+5)</f>
        <v>1190.4857142857143</v>
      </c>
      <c r="C94" s="9">
        <f>Dataset2_EmployeeSales!C94*1.1/Dataset2_EmployeeSales!B94</f>
        <v>1527.7900000000002</v>
      </c>
      <c r="D94" s="9">
        <f>(Dataset2_EmployeeSales!C94*1.1)/(Dataset2_EmployeeSales!B94+5)</f>
        <v>1309.5342857142859</v>
      </c>
    </row>
    <row r="95" spans="1:4" x14ac:dyDescent="0.2">
      <c r="A95" s="9">
        <f>Dataset2_EmployeeSales!C95/Dataset2_EmployeeSales!B95</f>
        <v>621.47058823529414</v>
      </c>
      <c r="B95" s="9">
        <f>Dataset2_EmployeeSales!C95/(Dataset2_EmployeeSales!B95+5)</f>
        <v>541.79487179487182</v>
      </c>
      <c r="C95" s="9">
        <f>Dataset2_EmployeeSales!C95*1.1/Dataset2_EmployeeSales!B95</f>
        <v>683.61764705882365</v>
      </c>
      <c r="D95" s="9">
        <f>(Dataset2_EmployeeSales!C95*1.1)/(Dataset2_EmployeeSales!B95+5)</f>
        <v>595.97435897435912</v>
      </c>
    </row>
    <row r="96" spans="1:4" x14ac:dyDescent="0.2">
      <c r="A96" s="9">
        <f>Dataset2_EmployeeSales!C96/Dataset2_EmployeeSales!B96</f>
        <v>819.79487179487182</v>
      </c>
      <c r="B96" s="9">
        <f>Dataset2_EmployeeSales!C96/(Dataset2_EmployeeSales!B96+5)</f>
        <v>726.63636363636363</v>
      </c>
      <c r="C96" s="9">
        <f>Dataset2_EmployeeSales!C96*1.1/Dataset2_EmployeeSales!B96</f>
        <v>901.77435897435907</v>
      </c>
      <c r="D96" s="9">
        <f>(Dataset2_EmployeeSales!C96*1.1)/(Dataset2_EmployeeSales!B96+5)</f>
        <v>799.30000000000007</v>
      </c>
    </row>
    <row r="97" spans="1:4" x14ac:dyDescent="0.2">
      <c r="A97" s="9">
        <f>Dataset2_EmployeeSales!C97/Dataset2_EmployeeSales!B97</f>
        <v>328.44117647058823</v>
      </c>
      <c r="B97" s="9">
        <f>Dataset2_EmployeeSales!C97/(Dataset2_EmployeeSales!B97+5)</f>
        <v>286.33333333333331</v>
      </c>
      <c r="C97" s="9">
        <f>Dataset2_EmployeeSales!C97*1.1/Dataset2_EmployeeSales!B97</f>
        <v>361.28529411764708</v>
      </c>
      <c r="D97" s="9">
        <f>(Dataset2_EmployeeSales!C97*1.1)/(Dataset2_EmployeeSales!B97+5)</f>
        <v>314.9666666666667</v>
      </c>
    </row>
    <row r="98" spans="1:4" x14ac:dyDescent="0.2">
      <c r="A98" s="9">
        <f>Dataset2_EmployeeSales!C98/Dataset2_EmployeeSales!B98</f>
        <v>1127.030303030303</v>
      </c>
      <c r="B98" s="9">
        <f>Dataset2_EmployeeSales!C98/(Dataset2_EmployeeSales!B98+5)</f>
        <v>978.73684210526312</v>
      </c>
      <c r="C98" s="9">
        <f>Dataset2_EmployeeSales!C98*1.1/Dataset2_EmployeeSales!B98</f>
        <v>1239.7333333333336</v>
      </c>
      <c r="D98" s="9">
        <f>(Dataset2_EmployeeSales!C98*1.1)/(Dataset2_EmployeeSales!B98+5)</f>
        <v>1076.6105263157897</v>
      </c>
    </row>
    <row r="99" spans="1:4" x14ac:dyDescent="0.2">
      <c r="A99" s="9">
        <f>Dataset2_EmployeeSales!C99/Dataset2_EmployeeSales!B99</f>
        <v>356.83870967741933</v>
      </c>
      <c r="B99" s="9">
        <f>Dataset2_EmployeeSales!C99/(Dataset2_EmployeeSales!B99+5)</f>
        <v>307.27777777777777</v>
      </c>
      <c r="C99" s="9">
        <f>Dataset2_EmployeeSales!C99*1.1/Dataset2_EmployeeSales!B99</f>
        <v>392.52258064516133</v>
      </c>
      <c r="D99" s="9">
        <f>(Dataset2_EmployeeSales!C99*1.1)/(Dataset2_EmployeeSales!B99+5)</f>
        <v>338.00555555555559</v>
      </c>
    </row>
    <row r="100" spans="1:4" x14ac:dyDescent="0.2">
      <c r="A100" s="9">
        <f>Dataset2_EmployeeSales!C100/Dataset2_EmployeeSales!B100</f>
        <v>582.44897959183675</v>
      </c>
      <c r="B100" s="9">
        <f>Dataset2_EmployeeSales!C100/(Dataset2_EmployeeSales!B100+5)</f>
        <v>528.51851851851848</v>
      </c>
      <c r="C100" s="9">
        <f>Dataset2_EmployeeSales!C100*1.1/Dataset2_EmployeeSales!B100</f>
        <v>640.69387755102048</v>
      </c>
      <c r="D100" s="9">
        <f>(Dataset2_EmployeeSales!C100*1.1)/(Dataset2_EmployeeSales!B100+5)</f>
        <v>581.37037037037044</v>
      </c>
    </row>
    <row r="101" spans="1:4" x14ac:dyDescent="0.2">
      <c r="A101" s="9">
        <f>Dataset2_EmployeeSales!C101/Dataset2_EmployeeSales!B101</f>
        <v>878.0512820512821</v>
      </c>
      <c r="B101" s="9">
        <f>Dataset2_EmployeeSales!C101/(Dataset2_EmployeeSales!B101+5)</f>
        <v>778.27272727272725</v>
      </c>
      <c r="C101" s="9">
        <f>Dataset2_EmployeeSales!C101*1.1/Dataset2_EmployeeSales!B101</f>
        <v>965.8564102564103</v>
      </c>
      <c r="D101" s="9">
        <f>(Dataset2_EmployeeSales!C101*1.1)/(Dataset2_EmployeeSales!B101+5)</f>
        <v>856.1</v>
      </c>
    </row>
  </sheetData>
  <conditionalFormatting sqref="A1:A101">
    <cfRule type="top10" dxfId="3" priority="1" percent="1" rank="10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topLeftCell="D1" workbookViewId="0">
      <selection activeCell="O27" sqref="O27"/>
    </sheetView>
  </sheetViews>
  <sheetFormatPr baseColWidth="10" defaultColWidth="8.83203125" defaultRowHeight="15" x14ac:dyDescent="0.2"/>
  <cols>
    <col min="1" max="1" width="12.5" customWidth="1"/>
    <col min="2" max="2" width="17.6640625" customWidth="1"/>
    <col min="3" max="3" width="18.5" customWidth="1"/>
    <col min="4" max="4" width="15.33203125" customWidth="1"/>
    <col min="5" max="5" width="19.1640625" customWidth="1"/>
    <col min="6" max="6" width="23.33203125" customWidth="1"/>
    <col min="7" max="7" width="17.1640625" customWidth="1"/>
  </cols>
  <sheetData>
    <row r="1" spans="1:11" x14ac:dyDescent="0.2">
      <c r="A1" s="1" t="s">
        <v>24</v>
      </c>
      <c r="B1" s="1" t="s">
        <v>25</v>
      </c>
      <c r="C1" s="1" t="s">
        <v>26</v>
      </c>
      <c r="D1" s="1" t="s">
        <v>27</v>
      </c>
      <c r="E1" s="11" t="s">
        <v>294</v>
      </c>
      <c r="F1" s="11"/>
    </row>
    <row r="2" spans="1:11" ht="20" x14ac:dyDescent="0.2">
      <c r="A2" t="s">
        <v>28</v>
      </c>
      <c r="B2">
        <v>30</v>
      </c>
      <c r="C2">
        <v>30</v>
      </c>
      <c r="D2">
        <v>14.59</v>
      </c>
      <c r="E2" s="12">
        <f>B2*D2*$I$2</f>
        <v>43.77</v>
      </c>
      <c r="I2">
        <v>0.1</v>
      </c>
      <c r="K2" s="3" t="s">
        <v>286</v>
      </c>
    </row>
    <row r="3" spans="1:11" x14ac:dyDescent="0.2">
      <c r="A3" t="s">
        <v>29</v>
      </c>
      <c r="B3">
        <v>32</v>
      </c>
      <c r="C3">
        <v>32</v>
      </c>
      <c r="D3">
        <v>34.42</v>
      </c>
      <c r="E3" s="12">
        <f t="shared" ref="E3:E66" si="0">B3*D3*$I$2</f>
        <v>110.14400000000001</v>
      </c>
    </row>
    <row r="4" spans="1:11" ht="20" x14ac:dyDescent="0.2">
      <c r="A4" t="s">
        <v>30</v>
      </c>
      <c r="B4">
        <v>27</v>
      </c>
      <c r="C4">
        <v>27</v>
      </c>
      <c r="D4">
        <v>21.55</v>
      </c>
      <c r="E4" s="12">
        <f t="shared" si="0"/>
        <v>58.185000000000002</v>
      </c>
      <c r="K4" s="3" t="s">
        <v>287</v>
      </c>
    </row>
    <row r="5" spans="1:11" ht="20" x14ac:dyDescent="0.2">
      <c r="A5" t="s">
        <v>31</v>
      </c>
      <c r="B5">
        <v>18</v>
      </c>
      <c r="C5">
        <v>18</v>
      </c>
      <c r="D5">
        <v>33.25</v>
      </c>
      <c r="E5" s="12">
        <f t="shared" si="0"/>
        <v>59.85</v>
      </c>
      <c r="G5" s="14" t="s">
        <v>302</v>
      </c>
      <c r="H5" s="15">
        <f>SUM(E2:E101)</f>
        <v>8286.7829999999994</v>
      </c>
      <c r="K5" s="3" t="s">
        <v>288</v>
      </c>
    </row>
    <row r="6" spans="1:11" ht="20" x14ac:dyDescent="0.2">
      <c r="A6" t="s">
        <v>32</v>
      </c>
      <c r="B6">
        <v>28</v>
      </c>
      <c r="C6">
        <v>28</v>
      </c>
      <c r="D6">
        <v>16.170000000000002</v>
      </c>
      <c r="E6" s="12">
        <f t="shared" si="0"/>
        <v>45.27600000000001</v>
      </c>
      <c r="K6" s="3" t="s">
        <v>256</v>
      </c>
    </row>
    <row r="7" spans="1:11" ht="20" x14ac:dyDescent="0.2">
      <c r="A7" t="s">
        <v>33</v>
      </c>
      <c r="B7">
        <v>6</v>
      </c>
      <c r="C7">
        <v>6</v>
      </c>
      <c r="D7">
        <v>29.25</v>
      </c>
      <c r="E7" s="12">
        <f t="shared" si="0"/>
        <v>17.55</v>
      </c>
      <c r="K7" s="4" t="s">
        <v>289</v>
      </c>
    </row>
    <row r="8" spans="1:11" ht="20" x14ac:dyDescent="0.2">
      <c r="A8" t="s">
        <v>34</v>
      </c>
      <c r="B8">
        <v>49</v>
      </c>
      <c r="C8">
        <v>49</v>
      </c>
      <c r="D8">
        <v>31.3</v>
      </c>
      <c r="E8" s="12">
        <f t="shared" si="0"/>
        <v>153.37</v>
      </c>
      <c r="K8" s="4" t="s">
        <v>290</v>
      </c>
    </row>
    <row r="9" spans="1:11" ht="20" x14ac:dyDescent="0.2">
      <c r="A9" t="s">
        <v>35</v>
      </c>
      <c r="B9">
        <v>30</v>
      </c>
      <c r="C9">
        <v>30</v>
      </c>
      <c r="D9">
        <v>12.07</v>
      </c>
      <c r="E9" s="12">
        <f t="shared" si="0"/>
        <v>36.21</v>
      </c>
      <c r="K9" s="4" t="s">
        <v>291</v>
      </c>
    </row>
    <row r="10" spans="1:11" ht="20" x14ac:dyDescent="0.2">
      <c r="A10" t="s">
        <v>36</v>
      </c>
      <c r="B10">
        <v>18</v>
      </c>
      <c r="C10">
        <v>18</v>
      </c>
      <c r="D10">
        <v>23.46</v>
      </c>
      <c r="E10" s="12">
        <f t="shared" si="0"/>
        <v>42.228000000000009</v>
      </c>
      <c r="K10" s="4" t="s">
        <v>292</v>
      </c>
    </row>
    <row r="11" spans="1:11" ht="20" x14ac:dyDescent="0.2">
      <c r="A11" t="s">
        <v>37</v>
      </c>
      <c r="B11">
        <v>11</v>
      </c>
      <c r="C11">
        <v>11</v>
      </c>
      <c r="D11">
        <v>15.38</v>
      </c>
      <c r="E11" s="12">
        <f t="shared" si="0"/>
        <v>16.918000000000003</v>
      </c>
      <c r="K11" s="4" t="s">
        <v>293</v>
      </c>
    </row>
    <row r="12" spans="1:11" x14ac:dyDescent="0.2">
      <c r="A12" t="s">
        <v>38</v>
      </c>
      <c r="B12">
        <v>7</v>
      </c>
      <c r="C12">
        <v>7</v>
      </c>
      <c r="D12">
        <v>12.53</v>
      </c>
      <c r="E12" s="12">
        <f t="shared" si="0"/>
        <v>8.770999999999999</v>
      </c>
    </row>
    <row r="13" spans="1:11" x14ac:dyDescent="0.2">
      <c r="A13" t="s">
        <v>39</v>
      </c>
      <c r="B13">
        <v>27</v>
      </c>
      <c r="C13">
        <v>27</v>
      </c>
      <c r="D13">
        <v>49.6</v>
      </c>
      <c r="E13" s="12">
        <f t="shared" si="0"/>
        <v>133.92000000000002</v>
      </c>
    </row>
    <row r="14" spans="1:11" x14ac:dyDescent="0.2">
      <c r="A14" t="s">
        <v>40</v>
      </c>
      <c r="B14">
        <v>47</v>
      </c>
      <c r="C14">
        <v>47</v>
      </c>
      <c r="D14">
        <v>22.89</v>
      </c>
      <c r="E14" s="12">
        <f t="shared" si="0"/>
        <v>107.583</v>
      </c>
    </row>
    <row r="15" spans="1:11" x14ac:dyDescent="0.2">
      <c r="A15" t="s">
        <v>41</v>
      </c>
      <c r="B15">
        <v>49</v>
      </c>
      <c r="C15">
        <v>49</v>
      </c>
      <c r="D15">
        <v>42.39</v>
      </c>
      <c r="E15" s="12">
        <f t="shared" si="0"/>
        <v>207.71100000000001</v>
      </c>
    </row>
    <row r="16" spans="1:11" x14ac:dyDescent="0.2">
      <c r="A16" t="s">
        <v>42</v>
      </c>
      <c r="B16">
        <v>22</v>
      </c>
      <c r="C16">
        <v>22</v>
      </c>
      <c r="D16">
        <v>20.190000000000001</v>
      </c>
      <c r="E16" s="12">
        <f t="shared" si="0"/>
        <v>44.418000000000006</v>
      </c>
    </row>
    <row r="17" spans="1:5" x14ac:dyDescent="0.2">
      <c r="A17" t="s">
        <v>43</v>
      </c>
      <c r="B17">
        <v>42</v>
      </c>
      <c r="C17">
        <v>42</v>
      </c>
      <c r="D17">
        <v>37.26</v>
      </c>
      <c r="E17" s="12">
        <f t="shared" si="0"/>
        <v>156.49199999999999</v>
      </c>
    </row>
    <row r="18" spans="1:5" x14ac:dyDescent="0.2">
      <c r="A18" t="s">
        <v>44</v>
      </c>
      <c r="B18">
        <v>39</v>
      </c>
      <c r="C18">
        <v>39</v>
      </c>
      <c r="D18">
        <v>40.409999999999997</v>
      </c>
      <c r="E18" s="12">
        <f t="shared" si="0"/>
        <v>157.59899999999999</v>
      </c>
    </row>
    <row r="19" spans="1:5" x14ac:dyDescent="0.2">
      <c r="A19" t="s">
        <v>45</v>
      </c>
      <c r="B19">
        <v>19</v>
      </c>
      <c r="C19">
        <v>19</v>
      </c>
      <c r="D19">
        <v>33.83</v>
      </c>
      <c r="E19" s="12">
        <f t="shared" si="0"/>
        <v>64.277000000000001</v>
      </c>
    </row>
    <row r="20" spans="1:5" x14ac:dyDescent="0.2">
      <c r="A20" t="s">
        <v>46</v>
      </c>
      <c r="B20">
        <v>29</v>
      </c>
      <c r="C20">
        <v>29</v>
      </c>
      <c r="D20">
        <v>28.86</v>
      </c>
      <c r="E20" s="12">
        <f t="shared" si="0"/>
        <v>83.694000000000003</v>
      </c>
    </row>
    <row r="21" spans="1:5" x14ac:dyDescent="0.2">
      <c r="A21" t="s">
        <v>47</v>
      </c>
      <c r="B21">
        <v>41</v>
      </c>
      <c r="C21">
        <v>41</v>
      </c>
      <c r="D21">
        <v>26.47</v>
      </c>
      <c r="E21" s="12">
        <f t="shared" si="0"/>
        <v>108.527</v>
      </c>
    </row>
    <row r="22" spans="1:5" x14ac:dyDescent="0.2">
      <c r="A22" t="s">
        <v>48</v>
      </c>
      <c r="B22">
        <v>32</v>
      </c>
      <c r="C22">
        <v>32</v>
      </c>
      <c r="D22">
        <v>23.95</v>
      </c>
      <c r="E22" s="12">
        <f t="shared" si="0"/>
        <v>76.64</v>
      </c>
    </row>
    <row r="23" spans="1:5" x14ac:dyDescent="0.2">
      <c r="A23" t="s">
        <v>49</v>
      </c>
      <c r="B23">
        <v>14</v>
      </c>
      <c r="C23">
        <v>14</v>
      </c>
      <c r="D23">
        <v>47.18</v>
      </c>
      <c r="E23" s="12">
        <f t="shared" si="0"/>
        <v>66.052000000000007</v>
      </c>
    </row>
    <row r="24" spans="1:5" x14ac:dyDescent="0.2">
      <c r="A24" t="s">
        <v>50</v>
      </c>
      <c r="B24">
        <v>43</v>
      </c>
      <c r="C24">
        <v>43</v>
      </c>
      <c r="D24">
        <v>43.22</v>
      </c>
      <c r="E24" s="12">
        <f t="shared" si="0"/>
        <v>185.846</v>
      </c>
    </row>
    <row r="25" spans="1:5" x14ac:dyDescent="0.2">
      <c r="A25" t="s">
        <v>51</v>
      </c>
      <c r="B25">
        <v>21</v>
      </c>
      <c r="C25">
        <v>21</v>
      </c>
      <c r="D25">
        <v>48.6</v>
      </c>
      <c r="E25" s="12">
        <f t="shared" si="0"/>
        <v>102.06</v>
      </c>
    </row>
    <row r="26" spans="1:5" x14ac:dyDescent="0.2">
      <c r="A26" t="s">
        <v>52</v>
      </c>
      <c r="B26">
        <v>43</v>
      </c>
      <c r="C26">
        <v>43</v>
      </c>
      <c r="D26">
        <v>14.97</v>
      </c>
      <c r="E26" s="12">
        <f t="shared" si="0"/>
        <v>64.371000000000009</v>
      </c>
    </row>
    <row r="27" spans="1:5" x14ac:dyDescent="0.2">
      <c r="A27" t="s">
        <v>53</v>
      </c>
      <c r="B27">
        <v>26</v>
      </c>
      <c r="C27">
        <v>26</v>
      </c>
      <c r="D27">
        <v>39.229999999999997</v>
      </c>
      <c r="E27" s="12">
        <f t="shared" si="0"/>
        <v>101.99799999999999</v>
      </c>
    </row>
    <row r="28" spans="1:5" x14ac:dyDescent="0.2">
      <c r="A28" t="s">
        <v>54</v>
      </c>
      <c r="B28">
        <v>30</v>
      </c>
      <c r="C28">
        <v>30</v>
      </c>
      <c r="D28">
        <v>47.53</v>
      </c>
      <c r="E28" s="12">
        <f t="shared" si="0"/>
        <v>142.59</v>
      </c>
    </row>
    <row r="29" spans="1:5" x14ac:dyDescent="0.2">
      <c r="A29" t="s">
        <v>55</v>
      </c>
      <c r="B29">
        <v>48</v>
      </c>
      <c r="C29">
        <v>48</v>
      </c>
      <c r="D29">
        <v>17.25</v>
      </c>
      <c r="E29" s="12">
        <f t="shared" si="0"/>
        <v>82.800000000000011</v>
      </c>
    </row>
    <row r="30" spans="1:5" x14ac:dyDescent="0.2">
      <c r="A30" t="s">
        <v>56</v>
      </c>
      <c r="B30">
        <v>29</v>
      </c>
      <c r="C30">
        <v>29</v>
      </c>
      <c r="D30">
        <v>12.66</v>
      </c>
      <c r="E30" s="12">
        <f t="shared" si="0"/>
        <v>36.713999999999999</v>
      </c>
    </row>
    <row r="31" spans="1:5" x14ac:dyDescent="0.2">
      <c r="A31" t="s">
        <v>57</v>
      </c>
      <c r="B31">
        <v>21</v>
      </c>
      <c r="C31">
        <v>21</v>
      </c>
      <c r="D31">
        <v>39.64</v>
      </c>
      <c r="E31" s="12">
        <f t="shared" si="0"/>
        <v>83.244000000000014</v>
      </c>
    </row>
    <row r="32" spans="1:5" x14ac:dyDescent="0.2">
      <c r="A32" t="s">
        <v>58</v>
      </c>
      <c r="B32">
        <v>17</v>
      </c>
      <c r="C32">
        <v>17</v>
      </c>
      <c r="D32">
        <v>32.979999999999997</v>
      </c>
      <c r="E32" s="12">
        <f t="shared" si="0"/>
        <v>56.066000000000003</v>
      </c>
    </row>
    <row r="33" spans="1:5" x14ac:dyDescent="0.2">
      <c r="A33" t="s">
        <v>59</v>
      </c>
      <c r="B33">
        <v>24</v>
      </c>
      <c r="C33">
        <v>24</v>
      </c>
      <c r="D33">
        <v>43.67</v>
      </c>
      <c r="E33" s="12">
        <f t="shared" si="0"/>
        <v>104.80799999999999</v>
      </c>
    </row>
    <row r="34" spans="1:5" x14ac:dyDescent="0.2">
      <c r="A34" t="s">
        <v>60</v>
      </c>
      <c r="B34">
        <v>29</v>
      </c>
      <c r="C34">
        <v>29</v>
      </c>
      <c r="D34">
        <v>15.59</v>
      </c>
      <c r="E34" s="12">
        <f t="shared" si="0"/>
        <v>45.211000000000006</v>
      </c>
    </row>
    <row r="35" spans="1:5" x14ac:dyDescent="0.2">
      <c r="A35" t="s">
        <v>61</v>
      </c>
      <c r="B35">
        <v>8</v>
      </c>
      <c r="C35">
        <v>8</v>
      </c>
      <c r="D35">
        <v>41.81</v>
      </c>
      <c r="E35" s="12">
        <f t="shared" si="0"/>
        <v>33.448</v>
      </c>
    </row>
    <row r="36" spans="1:5" x14ac:dyDescent="0.2">
      <c r="A36" t="s">
        <v>62</v>
      </c>
      <c r="B36">
        <v>14</v>
      </c>
      <c r="C36">
        <v>14</v>
      </c>
      <c r="D36">
        <v>18.07</v>
      </c>
      <c r="E36" s="12">
        <f t="shared" si="0"/>
        <v>25.298000000000002</v>
      </c>
    </row>
    <row r="37" spans="1:5" x14ac:dyDescent="0.2">
      <c r="A37" t="s">
        <v>63</v>
      </c>
      <c r="B37">
        <v>7</v>
      </c>
      <c r="C37">
        <v>7</v>
      </c>
      <c r="D37">
        <v>16.55</v>
      </c>
      <c r="E37" s="12">
        <f t="shared" si="0"/>
        <v>11.585000000000001</v>
      </c>
    </row>
    <row r="38" spans="1:5" x14ac:dyDescent="0.2">
      <c r="A38" t="s">
        <v>64</v>
      </c>
      <c r="B38">
        <v>45</v>
      </c>
      <c r="C38">
        <v>45</v>
      </c>
      <c r="D38">
        <v>16.57</v>
      </c>
      <c r="E38" s="12">
        <f t="shared" si="0"/>
        <v>74.564999999999998</v>
      </c>
    </row>
    <row r="39" spans="1:5" x14ac:dyDescent="0.2">
      <c r="A39" t="s">
        <v>65</v>
      </c>
      <c r="B39">
        <v>49</v>
      </c>
      <c r="C39">
        <v>49</v>
      </c>
      <c r="D39">
        <v>42.58</v>
      </c>
      <c r="E39" s="12">
        <f t="shared" si="0"/>
        <v>208.64200000000002</v>
      </c>
    </row>
    <row r="40" spans="1:5" x14ac:dyDescent="0.2">
      <c r="A40" t="s">
        <v>66</v>
      </c>
      <c r="B40">
        <v>22</v>
      </c>
      <c r="C40">
        <v>22</v>
      </c>
      <c r="D40">
        <v>36.61</v>
      </c>
      <c r="E40" s="12">
        <f t="shared" si="0"/>
        <v>80.542000000000002</v>
      </c>
    </row>
    <row r="41" spans="1:5" x14ac:dyDescent="0.2">
      <c r="A41" t="s">
        <v>67</v>
      </c>
      <c r="B41">
        <v>40</v>
      </c>
      <c r="C41">
        <v>40</v>
      </c>
      <c r="D41">
        <v>30.92</v>
      </c>
      <c r="E41" s="12">
        <f t="shared" si="0"/>
        <v>123.68000000000002</v>
      </c>
    </row>
    <row r="42" spans="1:5" x14ac:dyDescent="0.2">
      <c r="A42" t="s">
        <v>68</v>
      </c>
      <c r="B42">
        <v>26</v>
      </c>
      <c r="C42">
        <v>26</v>
      </c>
      <c r="D42">
        <v>24.35</v>
      </c>
      <c r="E42" s="12">
        <f t="shared" si="0"/>
        <v>63.31</v>
      </c>
    </row>
    <row r="43" spans="1:5" x14ac:dyDescent="0.2">
      <c r="A43" t="s">
        <v>69</v>
      </c>
      <c r="B43">
        <v>38</v>
      </c>
      <c r="C43">
        <v>38</v>
      </c>
      <c r="D43">
        <v>45.09</v>
      </c>
      <c r="E43" s="12">
        <f t="shared" si="0"/>
        <v>171.34200000000001</v>
      </c>
    </row>
    <row r="44" spans="1:5" x14ac:dyDescent="0.2">
      <c r="A44" t="s">
        <v>70</v>
      </c>
      <c r="B44">
        <v>12</v>
      </c>
      <c r="C44">
        <v>12</v>
      </c>
      <c r="D44">
        <v>25.7</v>
      </c>
      <c r="E44" s="12">
        <f t="shared" si="0"/>
        <v>30.84</v>
      </c>
    </row>
    <row r="45" spans="1:5" x14ac:dyDescent="0.2">
      <c r="A45" t="s">
        <v>71</v>
      </c>
      <c r="B45">
        <v>44</v>
      </c>
      <c r="C45">
        <v>44</v>
      </c>
      <c r="D45">
        <v>42.66</v>
      </c>
      <c r="E45" s="12">
        <f t="shared" si="0"/>
        <v>187.70400000000001</v>
      </c>
    </row>
    <row r="46" spans="1:5" x14ac:dyDescent="0.2">
      <c r="A46" t="s">
        <v>72</v>
      </c>
      <c r="B46">
        <v>48</v>
      </c>
      <c r="C46">
        <v>48</v>
      </c>
      <c r="D46">
        <v>27.57</v>
      </c>
      <c r="E46" s="12">
        <f t="shared" si="0"/>
        <v>132.33600000000001</v>
      </c>
    </row>
    <row r="47" spans="1:5" x14ac:dyDescent="0.2">
      <c r="A47" t="s">
        <v>73</v>
      </c>
      <c r="B47">
        <v>23</v>
      </c>
      <c r="C47">
        <v>23</v>
      </c>
      <c r="D47">
        <v>25.08</v>
      </c>
      <c r="E47" s="12">
        <f t="shared" si="0"/>
        <v>57.683999999999997</v>
      </c>
    </row>
    <row r="48" spans="1:5" x14ac:dyDescent="0.2">
      <c r="A48" t="s">
        <v>74</v>
      </c>
      <c r="B48">
        <v>46</v>
      </c>
      <c r="C48">
        <v>46</v>
      </c>
      <c r="D48">
        <v>28.51</v>
      </c>
      <c r="E48" s="12">
        <f t="shared" si="0"/>
        <v>131.14600000000002</v>
      </c>
    </row>
    <row r="49" spans="1:5" x14ac:dyDescent="0.2">
      <c r="A49" t="s">
        <v>75</v>
      </c>
      <c r="B49">
        <v>45</v>
      </c>
      <c r="C49">
        <v>45</v>
      </c>
      <c r="D49">
        <v>22.06</v>
      </c>
      <c r="E49" s="12">
        <f t="shared" si="0"/>
        <v>99.27</v>
      </c>
    </row>
    <row r="50" spans="1:5" x14ac:dyDescent="0.2">
      <c r="A50" t="s">
        <v>76</v>
      </c>
      <c r="B50">
        <v>41</v>
      </c>
      <c r="C50">
        <v>41</v>
      </c>
      <c r="D50">
        <v>39.9</v>
      </c>
      <c r="E50" s="12">
        <f t="shared" si="0"/>
        <v>163.59</v>
      </c>
    </row>
    <row r="51" spans="1:5" x14ac:dyDescent="0.2">
      <c r="A51" t="s">
        <v>77</v>
      </c>
      <c r="B51">
        <v>9.9999999999999982</v>
      </c>
      <c r="C51">
        <v>10</v>
      </c>
      <c r="D51">
        <v>30.11</v>
      </c>
      <c r="E51" s="12">
        <f t="shared" si="0"/>
        <v>30.11</v>
      </c>
    </row>
    <row r="52" spans="1:5" x14ac:dyDescent="0.2">
      <c r="A52" t="s">
        <v>78</v>
      </c>
      <c r="B52">
        <v>30</v>
      </c>
      <c r="C52">
        <v>30</v>
      </c>
      <c r="D52">
        <v>19.29</v>
      </c>
      <c r="E52" s="12">
        <f t="shared" si="0"/>
        <v>57.87</v>
      </c>
    </row>
    <row r="53" spans="1:5" x14ac:dyDescent="0.2">
      <c r="A53" t="s">
        <v>79</v>
      </c>
      <c r="B53">
        <v>38</v>
      </c>
      <c r="C53">
        <v>38</v>
      </c>
      <c r="D53">
        <v>45.98</v>
      </c>
      <c r="E53" s="12">
        <f t="shared" si="0"/>
        <v>174.72399999999999</v>
      </c>
    </row>
    <row r="54" spans="1:5" x14ac:dyDescent="0.2">
      <c r="A54" t="s">
        <v>80</v>
      </c>
      <c r="B54">
        <v>49</v>
      </c>
      <c r="C54">
        <v>49</v>
      </c>
      <c r="D54">
        <v>25.36</v>
      </c>
      <c r="E54" s="12">
        <f t="shared" si="0"/>
        <v>124.264</v>
      </c>
    </row>
    <row r="55" spans="1:5" x14ac:dyDescent="0.2">
      <c r="A55" t="s">
        <v>81</v>
      </c>
      <c r="B55">
        <v>10</v>
      </c>
      <c r="C55">
        <v>10</v>
      </c>
      <c r="D55">
        <v>31.74</v>
      </c>
      <c r="E55" s="12">
        <f t="shared" si="0"/>
        <v>31.74</v>
      </c>
    </row>
    <row r="56" spans="1:5" x14ac:dyDescent="0.2">
      <c r="A56" t="s">
        <v>82</v>
      </c>
      <c r="B56">
        <v>41</v>
      </c>
      <c r="C56">
        <v>41</v>
      </c>
      <c r="D56">
        <v>46.26</v>
      </c>
      <c r="E56" s="12">
        <f t="shared" si="0"/>
        <v>189.666</v>
      </c>
    </row>
    <row r="57" spans="1:5" x14ac:dyDescent="0.2">
      <c r="A57" t="s">
        <v>83</v>
      </c>
      <c r="B57">
        <v>37</v>
      </c>
      <c r="C57">
        <v>37</v>
      </c>
      <c r="D57">
        <v>34.97</v>
      </c>
      <c r="E57" s="12">
        <f t="shared" si="0"/>
        <v>129.38899999999998</v>
      </c>
    </row>
    <row r="58" spans="1:5" x14ac:dyDescent="0.2">
      <c r="A58" t="s">
        <v>84</v>
      </c>
      <c r="B58">
        <v>26</v>
      </c>
      <c r="C58">
        <v>26</v>
      </c>
      <c r="D58">
        <v>14.68</v>
      </c>
      <c r="E58" s="12">
        <f t="shared" si="0"/>
        <v>38.167999999999999</v>
      </c>
    </row>
    <row r="59" spans="1:5" x14ac:dyDescent="0.2">
      <c r="A59" t="s">
        <v>85</v>
      </c>
      <c r="B59">
        <v>25</v>
      </c>
      <c r="C59">
        <v>25</v>
      </c>
      <c r="D59">
        <v>47.59</v>
      </c>
      <c r="E59" s="12">
        <f t="shared" si="0"/>
        <v>118.97500000000001</v>
      </c>
    </row>
    <row r="60" spans="1:5" x14ac:dyDescent="0.2">
      <c r="A60" t="s">
        <v>86</v>
      </c>
      <c r="B60">
        <v>10</v>
      </c>
      <c r="C60">
        <v>10</v>
      </c>
      <c r="D60">
        <v>35.11</v>
      </c>
      <c r="E60" s="12">
        <f t="shared" si="0"/>
        <v>35.110000000000007</v>
      </c>
    </row>
    <row r="61" spans="1:5" x14ac:dyDescent="0.2">
      <c r="A61" t="s">
        <v>87</v>
      </c>
      <c r="B61">
        <v>10</v>
      </c>
      <c r="C61">
        <v>10</v>
      </c>
      <c r="D61">
        <v>23.4</v>
      </c>
      <c r="E61" s="12">
        <f t="shared" si="0"/>
        <v>23.400000000000002</v>
      </c>
    </row>
    <row r="62" spans="1:5" x14ac:dyDescent="0.2">
      <c r="A62" t="s">
        <v>88</v>
      </c>
      <c r="B62">
        <v>8</v>
      </c>
      <c r="C62">
        <v>8</v>
      </c>
      <c r="D62">
        <v>15.57</v>
      </c>
      <c r="E62" s="12">
        <f t="shared" si="0"/>
        <v>12.456000000000001</v>
      </c>
    </row>
    <row r="63" spans="1:5" x14ac:dyDescent="0.2">
      <c r="A63" t="s">
        <v>89</v>
      </c>
      <c r="B63">
        <v>34</v>
      </c>
      <c r="C63">
        <v>34</v>
      </c>
      <c r="D63">
        <v>41.76</v>
      </c>
      <c r="E63" s="12">
        <f t="shared" si="0"/>
        <v>141.98400000000001</v>
      </c>
    </row>
    <row r="64" spans="1:5" x14ac:dyDescent="0.2">
      <c r="A64" t="s">
        <v>90</v>
      </c>
      <c r="B64">
        <v>15</v>
      </c>
      <c r="C64">
        <v>15</v>
      </c>
      <c r="D64">
        <v>34.799999999999997</v>
      </c>
      <c r="E64" s="12">
        <f t="shared" si="0"/>
        <v>52.2</v>
      </c>
    </row>
    <row r="65" spans="1:5" x14ac:dyDescent="0.2">
      <c r="A65" t="s">
        <v>91</v>
      </c>
      <c r="B65">
        <v>34</v>
      </c>
      <c r="C65">
        <v>34</v>
      </c>
      <c r="D65">
        <v>31.34</v>
      </c>
      <c r="E65" s="12">
        <f t="shared" si="0"/>
        <v>106.556</v>
      </c>
    </row>
    <row r="66" spans="1:5" x14ac:dyDescent="0.2">
      <c r="A66" t="s">
        <v>92</v>
      </c>
      <c r="B66">
        <v>35</v>
      </c>
      <c r="C66">
        <v>35</v>
      </c>
      <c r="D66">
        <v>45.76</v>
      </c>
      <c r="E66" s="12">
        <f t="shared" si="0"/>
        <v>160.16</v>
      </c>
    </row>
    <row r="67" spans="1:5" x14ac:dyDescent="0.2">
      <c r="A67" t="s">
        <v>93</v>
      </c>
      <c r="B67">
        <v>28</v>
      </c>
      <c r="C67">
        <v>28</v>
      </c>
      <c r="D67">
        <v>41.54</v>
      </c>
      <c r="E67" s="12">
        <f t="shared" ref="E67:E101" si="1">B67*D67*$I$2</f>
        <v>116.312</v>
      </c>
    </row>
    <row r="68" spans="1:5" x14ac:dyDescent="0.2">
      <c r="A68" t="s">
        <v>94</v>
      </c>
      <c r="B68">
        <v>13.000000000000002</v>
      </c>
      <c r="C68">
        <v>13</v>
      </c>
      <c r="D68">
        <v>16.07</v>
      </c>
      <c r="E68" s="12">
        <f t="shared" si="1"/>
        <v>20.891000000000005</v>
      </c>
    </row>
    <row r="69" spans="1:5" x14ac:dyDescent="0.2">
      <c r="A69" t="s">
        <v>95</v>
      </c>
      <c r="B69">
        <v>7</v>
      </c>
      <c r="C69">
        <v>7</v>
      </c>
      <c r="D69">
        <v>22.47</v>
      </c>
      <c r="E69" s="12">
        <f t="shared" si="1"/>
        <v>15.728999999999999</v>
      </c>
    </row>
    <row r="70" spans="1:5" x14ac:dyDescent="0.2">
      <c r="A70" t="s">
        <v>96</v>
      </c>
      <c r="B70">
        <v>35</v>
      </c>
      <c r="C70">
        <v>35</v>
      </c>
      <c r="D70">
        <v>19.940000000000001</v>
      </c>
      <c r="E70" s="12">
        <f t="shared" si="1"/>
        <v>69.790000000000006</v>
      </c>
    </row>
    <row r="71" spans="1:5" x14ac:dyDescent="0.2">
      <c r="A71" t="s">
        <v>97</v>
      </c>
      <c r="B71">
        <v>44</v>
      </c>
      <c r="C71">
        <v>44</v>
      </c>
      <c r="D71">
        <v>39.76</v>
      </c>
      <c r="E71" s="12">
        <f t="shared" si="1"/>
        <v>174.94399999999999</v>
      </c>
    </row>
    <row r="72" spans="1:5" x14ac:dyDescent="0.2">
      <c r="A72" t="s">
        <v>98</v>
      </c>
      <c r="B72">
        <v>41</v>
      </c>
      <c r="C72">
        <v>41</v>
      </c>
      <c r="D72">
        <v>11.34</v>
      </c>
      <c r="E72" s="12">
        <f t="shared" si="1"/>
        <v>46.494</v>
      </c>
    </row>
    <row r="73" spans="1:5" x14ac:dyDescent="0.2">
      <c r="A73" t="s">
        <v>99</v>
      </c>
      <c r="B73">
        <v>40</v>
      </c>
      <c r="C73">
        <v>40</v>
      </c>
      <c r="D73">
        <v>32.799999999999997</v>
      </c>
      <c r="E73" s="12">
        <f>B73*D73*$I$2</f>
        <v>131.20000000000002</v>
      </c>
    </row>
    <row r="74" spans="1:5" x14ac:dyDescent="0.2">
      <c r="A74" t="s">
        <v>100</v>
      </c>
      <c r="B74">
        <v>28</v>
      </c>
      <c r="C74">
        <v>28</v>
      </c>
      <c r="D74">
        <v>40.5</v>
      </c>
      <c r="E74" s="12">
        <f t="shared" si="1"/>
        <v>113.4</v>
      </c>
    </row>
    <row r="75" spans="1:5" x14ac:dyDescent="0.2">
      <c r="A75" t="s">
        <v>101</v>
      </c>
      <c r="B75">
        <v>35</v>
      </c>
      <c r="C75">
        <v>35</v>
      </c>
      <c r="D75">
        <v>45.07</v>
      </c>
      <c r="E75" s="12">
        <f t="shared" si="1"/>
        <v>157.745</v>
      </c>
    </row>
    <row r="76" spans="1:5" x14ac:dyDescent="0.2">
      <c r="A76" t="s">
        <v>102</v>
      </c>
      <c r="B76">
        <v>10</v>
      </c>
      <c r="C76">
        <v>10</v>
      </c>
      <c r="D76">
        <v>23.68</v>
      </c>
      <c r="E76" s="12">
        <f t="shared" si="1"/>
        <v>23.680000000000003</v>
      </c>
    </row>
    <row r="77" spans="1:5" x14ac:dyDescent="0.2">
      <c r="A77" t="s">
        <v>103</v>
      </c>
      <c r="B77">
        <v>6</v>
      </c>
      <c r="C77">
        <v>6</v>
      </c>
      <c r="D77">
        <v>42.85</v>
      </c>
      <c r="E77" s="12">
        <f t="shared" si="1"/>
        <v>25.710000000000004</v>
      </c>
    </row>
    <row r="78" spans="1:5" x14ac:dyDescent="0.2">
      <c r="A78" t="s">
        <v>104</v>
      </c>
      <c r="B78">
        <v>24</v>
      </c>
      <c r="C78">
        <v>24</v>
      </c>
      <c r="D78">
        <v>14.43</v>
      </c>
      <c r="E78" s="12">
        <f t="shared" si="1"/>
        <v>34.631999999999998</v>
      </c>
    </row>
    <row r="79" spans="1:5" x14ac:dyDescent="0.2">
      <c r="A79" t="s">
        <v>105</v>
      </c>
      <c r="B79">
        <v>32</v>
      </c>
      <c r="C79">
        <v>32</v>
      </c>
      <c r="D79">
        <v>43.86</v>
      </c>
      <c r="E79" s="12">
        <f t="shared" si="1"/>
        <v>140.352</v>
      </c>
    </row>
    <row r="80" spans="1:5" x14ac:dyDescent="0.2">
      <c r="A80" t="s">
        <v>106</v>
      </c>
      <c r="B80">
        <v>15</v>
      </c>
      <c r="C80">
        <v>15</v>
      </c>
      <c r="D80">
        <v>15.1</v>
      </c>
      <c r="E80" s="12">
        <f t="shared" si="1"/>
        <v>22.650000000000002</v>
      </c>
    </row>
    <row r="81" spans="1:5" x14ac:dyDescent="0.2">
      <c r="A81" t="s">
        <v>107</v>
      </c>
      <c r="B81">
        <v>8</v>
      </c>
      <c r="C81">
        <v>8</v>
      </c>
      <c r="D81">
        <v>25.89</v>
      </c>
      <c r="E81" s="12">
        <f t="shared" si="1"/>
        <v>20.712000000000003</v>
      </c>
    </row>
    <row r="82" spans="1:5" x14ac:dyDescent="0.2">
      <c r="A82" t="s">
        <v>108</v>
      </c>
      <c r="B82">
        <v>19</v>
      </c>
      <c r="C82">
        <v>19</v>
      </c>
      <c r="D82">
        <v>41.89</v>
      </c>
      <c r="E82" s="12">
        <f t="shared" si="1"/>
        <v>79.591000000000008</v>
      </c>
    </row>
    <row r="83" spans="1:5" x14ac:dyDescent="0.2">
      <c r="A83" t="s">
        <v>109</v>
      </c>
      <c r="B83">
        <v>10</v>
      </c>
      <c r="C83">
        <v>10</v>
      </c>
      <c r="D83">
        <v>16</v>
      </c>
      <c r="E83" s="12">
        <f t="shared" si="1"/>
        <v>16</v>
      </c>
    </row>
    <row r="84" spans="1:5" x14ac:dyDescent="0.2">
      <c r="A84" t="s">
        <v>110</v>
      </c>
      <c r="B84">
        <v>34</v>
      </c>
      <c r="C84">
        <v>34</v>
      </c>
      <c r="D84">
        <v>19.170000000000002</v>
      </c>
      <c r="E84" s="12">
        <f t="shared" si="1"/>
        <v>65.178000000000011</v>
      </c>
    </row>
    <row r="85" spans="1:5" x14ac:dyDescent="0.2">
      <c r="A85" t="s">
        <v>111</v>
      </c>
      <c r="B85">
        <v>42</v>
      </c>
      <c r="C85">
        <v>42</v>
      </c>
      <c r="D85">
        <v>38.89</v>
      </c>
      <c r="E85" s="12">
        <f t="shared" si="1"/>
        <v>163.33800000000002</v>
      </c>
    </row>
    <row r="86" spans="1:5" x14ac:dyDescent="0.2">
      <c r="A86" t="s">
        <v>112</v>
      </c>
      <c r="B86">
        <v>6</v>
      </c>
      <c r="C86">
        <v>6</v>
      </c>
      <c r="D86">
        <v>38.799999999999997</v>
      </c>
      <c r="E86" s="12">
        <f t="shared" si="1"/>
        <v>23.28</v>
      </c>
    </row>
    <row r="87" spans="1:5" x14ac:dyDescent="0.2">
      <c r="A87" t="s">
        <v>113</v>
      </c>
      <c r="B87">
        <v>19</v>
      </c>
      <c r="C87">
        <v>19</v>
      </c>
      <c r="D87">
        <v>35.65</v>
      </c>
      <c r="E87" s="12">
        <f t="shared" si="1"/>
        <v>67.734999999999999</v>
      </c>
    </row>
    <row r="88" spans="1:5" x14ac:dyDescent="0.2">
      <c r="A88" t="s">
        <v>114</v>
      </c>
      <c r="B88">
        <v>15</v>
      </c>
      <c r="C88">
        <v>15</v>
      </c>
      <c r="D88">
        <v>37.76</v>
      </c>
      <c r="E88" s="12">
        <f t="shared" si="1"/>
        <v>56.64</v>
      </c>
    </row>
    <row r="89" spans="1:5" x14ac:dyDescent="0.2">
      <c r="A89" t="s">
        <v>115</v>
      </c>
      <c r="B89">
        <v>12</v>
      </c>
      <c r="C89">
        <v>12</v>
      </c>
      <c r="D89">
        <v>31.71</v>
      </c>
      <c r="E89" s="12">
        <f t="shared" si="1"/>
        <v>38.052</v>
      </c>
    </row>
    <row r="90" spans="1:5" x14ac:dyDescent="0.2">
      <c r="A90" t="s">
        <v>116</v>
      </c>
      <c r="B90">
        <v>30</v>
      </c>
      <c r="C90">
        <v>30</v>
      </c>
      <c r="D90">
        <v>20.07</v>
      </c>
      <c r="E90" s="12">
        <f t="shared" si="1"/>
        <v>60.210000000000008</v>
      </c>
    </row>
    <row r="91" spans="1:5" x14ac:dyDescent="0.2">
      <c r="A91" t="s">
        <v>117</v>
      </c>
      <c r="B91">
        <v>49</v>
      </c>
      <c r="C91">
        <v>49</v>
      </c>
      <c r="D91">
        <v>23.83</v>
      </c>
      <c r="E91" s="12">
        <f t="shared" si="1"/>
        <v>116.767</v>
      </c>
    </row>
    <row r="92" spans="1:5" x14ac:dyDescent="0.2">
      <c r="A92" t="s">
        <v>118</v>
      </c>
      <c r="B92">
        <v>48</v>
      </c>
      <c r="C92">
        <v>48</v>
      </c>
      <c r="D92">
        <v>17.260000000000002</v>
      </c>
      <c r="E92" s="12">
        <f t="shared" si="1"/>
        <v>82.848000000000013</v>
      </c>
    </row>
    <row r="93" spans="1:5" x14ac:dyDescent="0.2">
      <c r="A93" t="s">
        <v>119</v>
      </c>
      <c r="B93">
        <v>9</v>
      </c>
      <c r="C93">
        <v>9</v>
      </c>
      <c r="D93">
        <v>46.34</v>
      </c>
      <c r="E93" s="12">
        <f t="shared" si="1"/>
        <v>41.70600000000001</v>
      </c>
    </row>
    <row r="94" spans="1:5" x14ac:dyDescent="0.2">
      <c r="A94" t="s">
        <v>120</v>
      </c>
      <c r="B94">
        <v>10</v>
      </c>
      <c r="C94">
        <v>10</v>
      </c>
      <c r="D94">
        <v>33.340000000000003</v>
      </c>
      <c r="E94" s="12">
        <f t="shared" si="1"/>
        <v>33.340000000000003</v>
      </c>
    </row>
    <row r="95" spans="1:5" x14ac:dyDescent="0.2">
      <c r="A95" t="s">
        <v>121</v>
      </c>
      <c r="B95">
        <v>30</v>
      </c>
      <c r="C95">
        <v>30</v>
      </c>
      <c r="D95">
        <v>26.03</v>
      </c>
      <c r="E95" s="12">
        <f t="shared" si="1"/>
        <v>78.090000000000018</v>
      </c>
    </row>
    <row r="96" spans="1:5" x14ac:dyDescent="0.2">
      <c r="A96" t="s">
        <v>122</v>
      </c>
      <c r="B96">
        <v>8</v>
      </c>
      <c r="C96">
        <v>8</v>
      </c>
      <c r="D96">
        <v>28.48</v>
      </c>
      <c r="E96" s="12">
        <f t="shared" si="1"/>
        <v>22.784000000000002</v>
      </c>
    </row>
    <row r="97" spans="1:5" x14ac:dyDescent="0.2">
      <c r="A97" t="s">
        <v>123</v>
      </c>
      <c r="B97">
        <v>23</v>
      </c>
      <c r="C97">
        <v>23</v>
      </c>
      <c r="D97">
        <v>47.89</v>
      </c>
      <c r="E97" s="12">
        <f t="shared" si="1"/>
        <v>110.14700000000001</v>
      </c>
    </row>
    <row r="98" spans="1:5" x14ac:dyDescent="0.2">
      <c r="A98" t="s">
        <v>124</v>
      </c>
      <c r="B98">
        <v>24</v>
      </c>
      <c r="C98">
        <v>24</v>
      </c>
      <c r="D98">
        <v>16.13</v>
      </c>
      <c r="E98" s="12">
        <f t="shared" si="1"/>
        <v>38.712000000000003</v>
      </c>
    </row>
    <row r="99" spans="1:5" x14ac:dyDescent="0.2">
      <c r="A99" t="s">
        <v>125</v>
      </c>
      <c r="B99">
        <v>37</v>
      </c>
      <c r="C99">
        <v>37</v>
      </c>
      <c r="D99">
        <v>33.450000000000003</v>
      </c>
      <c r="E99" s="12">
        <f t="shared" si="1"/>
        <v>123.76500000000001</v>
      </c>
    </row>
    <row r="100" spans="1:5" x14ac:dyDescent="0.2">
      <c r="A100" t="s">
        <v>126</v>
      </c>
      <c r="B100">
        <v>24</v>
      </c>
      <c r="C100">
        <v>24</v>
      </c>
      <c r="D100">
        <v>30.24</v>
      </c>
      <c r="E100" s="12">
        <f t="shared" si="1"/>
        <v>72.576000000000008</v>
      </c>
    </row>
    <row r="101" spans="1:5" x14ac:dyDescent="0.2">
      <c r="A101" t="s">
        <v>127</v>
      </c>
      <c r="B101">
        <v>16</v>
      </c>
      <c r="C101">
        <v>16</v>
      </c>
      <c r="D101">
        <v>34.46</v>
      </c>
      <c r="E101" s="12">
        <f t="shared" si="1"/>
        <v>55.136000000000003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1"/>
  <sheetViews>
    <sheetView workbookViewId="0">
      <selection activeCell="I9" sqref="I9"/>
    </sheetView>
  </sheetViews>
  <sheetFormatPr baseColWidth="10" defaultColWidth="8.83203125" defaultRowHeight="15" x14ac:dyDescent="0.2"/>
  <cols>
    <col min="1" max="1" width="15.5" customWidth="1"/>
    <col min="2" max="3" width="16" customWidth="1"/>
    <col min="4" max="4" width="13.5" customWidth="1"/>
    <col min="5" max="5" width="18.5" customWidth="1"/>
  </cols>
  <sheetData>
    <row r="1" spans="1:14" x14ac:dyDescent="0.2">
      <c r="A1" s="1" t="s">
        <v>128</v>
      </c>
      <c r="B1" s="1" t="s">
        <v>129</v>
      </c>
      <c r="C1" s="1" t="s">
        <v>316</v>
      </c>
      <c r="D1" s="1" t="s">
        <v>130</v>
      </c>
      <c r="E1" s="1" t="s">
        <v>0</v>
      </c>
    </row>
    <row r="2" spans="1:14" x14ac:dyDescent="0.2">
      <c r="A2" t="s">
        <v>131</v>
      </c>
      <c r="B2">
        <v>1162.99</v>
      </c>
      <c r="C2" t="str">
        <f>IF(B2&gt;$I$5,$I$3,$I$4)</f>
        <v>Small</v>
      </c>
      <c r="D2" t="s">
        <v>231</v>
      </c>
      <c r="E2" s="2">
        <v>44927</v>
      </c>
      <c r="L2" s="13" t="s">
        <v>231</v>
      </c>
      <c r="M2" s="13">
        <f>COUNTIF(D:D,D2)</f>
        <v>48</v>
      </c>
    </row>
    <row r="3" spans="1:14" ht="20" x14ac:dyDescent="0.2">
      <c r="A3" t="s">
        <v>132</v>
      </c>
      <c r="B3">
        <v>8849.1200000000008</v>
      </c>
      <c r="C3" t="str">
        <f>IF(B3&gt;$I$5,$I$3,$I$4)</f>
        <v xml:space="preserve">Large </v>
      </c>
      <c r="D3" t="s">
        <v>232</v>
      </c>
      <c r="E3" s="2">
        <v>44928</v>
      </c>
      <c r="I3" t="s">
        <v>314</v>
      </c>
      <c r="L3" s="13" t="s">
        <v>232</v>
      </c>
      <c r="M3" s="13">
        <f>COUNTIF(D:D,D3)</f>
        <v>52</v>
      </c>
      <c r="N3" s="3" t="s">
        <v>295</v>
      </c>
    </row>
    <row r="4" spans="1:14" x14ac:dyDescent="0.2">
      <c r="A4" t="s">
        <v>133</v>
      </c>
      <c r="B4">
        <v>9389.06</v>
      </c>
      <c r="C4" t="str">
        <f t="shared" ref="C4:C67" si="0">IF(B4&gt;$I$5,$I$3,$I$4)</f>
        <v xml:space="preserve">Large </v>
      </c>
      <c r="D4" t="s">
        <v>231</v>
      </c>
      <c r="E4" s="2">
        <v>44929</v>
      </c>
      <c r="I4" t="s">
        <v>315</v>
      </c>
      <c r="L4" s="13"/>
      <c r="M4" s="13"/>
    </row>
    <row r="5" spans="1:14" ht="20" x14ac:dyDescent="0.2">
      <c r="A5" t="s">
        <v>134</v>
      </c>
      <c r="B5">
        <v>6086.2</v>
      </c>
      <c r="C5" t="str">
        <f t="shared" si="0"/>
        <v xml:space="preserve">Large </v>
      </c>
      <c r="D5" t="s">
        <v>232</v>
      </c>
      <c r="E5" s="2">
        <v>44930</v>
      </c>
      <c r="I5">
        <v>5000</v>
      </c>
      <c r="N5" s="3" t="s">
        <v>296</v>
      </c>
    </row>
    <row r="6" spans="1:14" ht="20" x14ac:dyDescent="0.2">
      <c r="A6" t="s">
        <v>135</v>
      </c>
      <c r="B6">
        <v>7269.86</v>
      </c>
      <c r="C6" t="str">
        <f t="shared" si="0"/>
        <v xml:space="preserve">Large </v>
      </c>
      <c r="D6" t="s">
        <v>231</v>
      </c>
      <c r="E6" s="2">
        <v>44931</v>
      </c>
      <c r="N6" s="3" t="s">
        <v>297</v>
      </c>
    </row>
    <row r="7" spans="1:14" ht="20" x14ac:dyDescent="0.2">
      <c r="A7" t="s">
        <v>136</v>
      </c>
      <c r="B7">
        <v>9302.49</v>
      </c>
      <c r="C7" t="str">
        <f t="shared" si="0"/>
        <v xml:space="preserve">Large </v>
      </c>
      <c r="D7" t="s">
        <v>231</v>
      </c>
      <c r="E7" s="2">
        <v>44932</v>
      </c>
      <c r="N7" s="3" t="s">
        <v>256</v>
      </c>
    </row>
    <row r="8" spans="1:14" ht="20" x14ac:dyDescent="0.2">
      <c r="A8" t="s">
        <v>137</v>
      </c>
      <c r="B8">
        <v>7365.15</v>
      </c>
      <c r="C8" t="str">
        <f t="shared" si="0"/>
        <v xml:space="preserve">Large </v>
      </c>
      <c r="D8" t="s">
        <v>232</v>
      </c>
      <c r="E8" s="2">
        <v>44933</v>
      </c>
      <c r="N8" s="4" t="s">
        <v>298</v>
      </c>
    </row>
    <row r="9" spans="1:14" ht="20" x14ac:dyDescent="0.2">
      <c r="A9" t="s">
        <v>138</v>
      </c>
      <c r="B9">
        <v>2372.85</v>
      </c>
      <c r="C9" t="str">
        <f t="shared" si="0"/>
        <v>Small</v>
      </c>
      <c r="D9" t="s">
        <v>232</v>
      </c>
      <c r="E9" s="2">
        <v>44934</v>
      </c>
      <c r="N9" s="4" t="s">
        <v>299</v>
      </c>
    </row>
    <row r="10" spans="1:14" ht="20" x14ac:dyDescent="0.2">
      <c r="A10" t="s">
        <v>139</v>
      </c>
      <c r="B10">
        <v>6186.6</v>
      </c>
      <c r="C10" t="str">
        <f t="shared" si="0"/>
        <v xml:space="preserve">Large </v>
      </c>
      <c r="D10" t="s">
        <v>231</v>
      </c>
      <c r="E10" s="2">
        <v>44935</v>
      </c>
      <c r="N10" s="4" t="s">
        <v>300</v>
      </c>
    </row>
    <row r="11" spans="1:14" ht="20" x14ac:dyDescent="0.2">
      <c r="A11" t="s">
        <v>140</v>
      </c>
      <c r="B11">
        <v>6460.44</v>
      </c>
      <c r="C11" t="str">
        <f t="shared" si="0"/>
        <v xml:space="preserve">Large </v>
      </c>
      <c r="D11" t="s">
        <v>232</v>
      </c>
      <c r="E11" s="2">
        <v>44936</v>
      </c>
      <c r="N11" s="4" t="s">
        <v>301</v>
      </c>
    </row>
    <row r="12" spans="1:14" x14ac:dyDescent="0.2">
      <c r="A12" t="s">
        <v>141</v>
      </c>
      <c r="B12">
        <v>4817.18</v>
      </c>
      <c r="C12" t="str">
        <f t="shared" si="0"/>
        <v>Small</v>
      </c>
      <c r="D12" t="s">
        <v>231</v>
      </c>
      <c r="E12" s="2">
        <v>44937</v>
      </c>
    </row>
    <row r="13" spans="1:14" x14ac:dyDescent="0.2">
      <c r="A13" t="s">
        <v>142</v>
      </c>
      <c r="B13">
        <v>7628</v>
      </c>
      <c r="C13" t="str">
        <f t="shared" si="0"/>
        <v xml:space="preserve">Large </v>
      </c>
      <c r="D13" t="s">
        <v>231</v>
      </c>
      <c r="E13" s="2">
        <v>44938</v>
      </c>
    </row>
    <row r="14" spans="1:14" x14ac:dyDescent="0.2">
      <c r="A14" t="s">
        <v>143</v>
      </c>
      <c r="B14">
        <v>9409.2999999999993</v>
      </c>
      <c r="C14" t="str">
        <f t="shared" si="0"/>
        <v xml:space="preserve">Large </v>
      </c>
      <c r="D14" t="s">
        <v>231</v>
      </c>
      <c r="E14" s="2">
        <v>44939</v>
      </c>
    </row>
    <row r="15" spans="1:14" x14ac:dyDescent="0.2">
      <c r="A15" t="s">
        <v>144</v>
      </c>
      <c r="B15">
        <v>9330.1200000000008</v>
      </c>
      <c r="C15" t="str">
        <f t="shared" si="0"/>
        <v xml:space="preserve">Large </v>
      </c>
      <c r="D15" t="s">
        <v>231</v>
      </c>
      <c r="E15" s="2">
        <v>44940</v>
      </c>
    </row>
    <row r="16" spans="1:14" x14ac:dyDescent="0.2">
      <c r="A16" t="s">
        <v>145</v>
      </c>
      <c r="B16">
        <v>5057.55</v>
      </c>
      <c r="C16" t="str">
        <f t="shared" si="0"/>
        <v xml:space="preserve">Large </v>
      </c>
      <c r="D16" t="s">
        <v>231</v>
      </c>
      <c r="E16" s="2">
        <v>44941</v>
      </c>
    </row>
    <row r="17" spans="1:5" x14ac:dyDescent="0.2">
      <c r="A17" t="s">
        <v>146</v>
      </c>
      <c r="B17">
        <v>2019.14</v>
      </c>
      <c r="C17" t="str">
        <f t="shared" si="0"/>
        <v>Small</v>
      </c>
      <c r="D17" t="s">
        <v>232</v>
      </c>
      <c r="E17" s="2">
        <v>44942</v>
      </c>
    </row>
    <row r="18" spans="1:5" x14ac:dyDescent="0.2">
      <c r="A18" t="s">
        <v>147</v>
      </c>
      <c r="B18">
        <v>9863.57</v>
      </c>
      <c r="C18" t="str">
        <f t="shared" si="0"/>
        <v xml:space="preserve">Large </v>
      </c>
      <c r="D18" t="s">
        <v>231</v>
      </c>
      <c r="E18" s="2">
        <v>44943</v>
      </c>
    </row>
    <row r="19" spans="1:5" x14ac:dyDescent="0.2">
      <c r="A19" t="s">
        <v>148</v>
      </c>
      <c r="B19">
        <v>8550.08</v>
      </c>
      <c r="C19" t="str">
        <f t="shared" si="0"/>
        <v xml:space="preserve">Large </v>
      </c>
      <c r="D19" t="s">
        <v>231</v>
      </c>
      <c r="E19" s="2">
        <v>44944</v>
      </c>
    </row>
    <row r="20" spans="1:5" x14ac:dyDescent="0.2">
      <c r="A20" t="s">
        <v>149</v>
      </c>
      <c r="B20">
        <v>2121.96</v>
      </c>
      <c r="C20" t="str">
        <f t="shared" si="0"/>
        <v>Small</v>
      </c>
      <c r="D20" t="s">
        <v>232</v>
      </c>
      <c r="E20" s="2">
        <v>44945</v>
      </c>
    </row>
    <row r="21" spans="1:5" x14ac:dyDescent="0.2">
      <c r="A21" t="s">
        <v>150</v>
      </c>
      <c r="B21">
        <v>9287.58</v>
      </c>
      <c r="C21" t="str">
        <f t="shared" si="0"/>
        <v xml:space="preserve">Large </v>
      </c>
      <c r="D21" t="s">
        <v>231</v>
      </c>
      <c r="E21" s="2">
        <v>44946</v>
      </c>
    </row>
    <row r="22" spans="1:5" x14ac:dyDescent="0.2">
      <c r="A22" t="s">
        <v>151</v>
      </c>
      <c r="B22">
        <v>8829.07</v>
      </c>
      <c r="C22" t="str">
        <f t="shared" si="0"/>
        <v xml:space="preserve">Large </v>
      </c>
      <c r="D22" t="s">
        <v>232</v>
      </c>
      <c r="E22" s="2">
        <v>44947</v>
      </c>
    </row>
    <row r="23" spans="1:5" x14ac:dyDescent="0.2">
      <c r="A23" t="s">
        <v>152</v>
      </c>
      <c r="B23">
        <v>5669.54</v>
      </c>
      <c r="C23" t="str">
        <f t="shared" si="0"/>
        <v xml:space="preserve">Large </v>
      </c>
      <c r="D23" t="s">
        <v>232</v>
      </c>
      <c r="E23" s="2">
        <v>44948</v>
      </c>
    </row>
    <row r="24" spans="1:5" x14ac:dyDescent="0.2">
      <c r="A24" t="s">
        <v>153</v>
      </c>
      <c r="B24">
        <v>6321.48</v>
      </c>
      <c r="C24" t="str">
        <f t="shared" si="0"/>
        <v xml:space="preserve">Large </v>
      </c>
      <c r="D24" t="s">
        <v>232</v>
      </c>
      <c r="E24" s="2">
        <v>44949</v>
      </c>
    </row>
    <row r="25" spans="1:5" x14ac:dyDescent="0.2">
      <c r="A25" t="s">
        <v>154</v>
      </c>
      <c r="B25">
        <v>4591.0200000000004</v>
      </c>
      <c r="C25" t="str">
        <f t="shared" si="0"/>
        <v>Small</v>
      </c>
      <c r="D25" t="s">
        <v>231</v>
      </c>
      <c r="E25" s="2">
        <v>44950</v>
      </c>
    </row>
    <row r="26" spans="1:5" x14ac:dyDescent="0.2">
      <c r="A26" t="s">
        <v>155</v>
      </c>
      <c r="B26">
        <v>1492.85</v>
      </c>
      <c r="C26" t="str">
        <f t="shared" si="0"/>
        <v>Small</v>
      </c>
      <c r="D26" t="s">
        <v>231</v>
      </c>
      <c r="E26" s="2">
        <v>44951</v>
      </c>
    </row>
    <row r="27" spans="1:5" x14ac:dyDescent="0.2">
      <c r="A27" t="s">
        <v>156</v>
      </c>
      <c r="B27">
        <v>4016.78</v>
      </c>
      <c r="C27" t="str">
        <f t="shared" si="0"/>
        <v>Small</v>
      </c>
      <c r="D27" t="s">
        <v>231</v>
      </c>
      <c r="E27" s="2">
        <v>44952</v>
      </c>
    </row>
    <row r="28" spans="1:5" x14ac:dyDescent="0.2">
      <c r="A28" t="s">
        <v>157</v>
      </c>
      <c r="B28">
        <v>8225.68</v>
      </c>
      <c r="C28" t="str">
        <f t="shared" si="0"/>
        <v xml:space="preserve">Large </v>
      </c>
      <c r="D28" t="s">
        <v>232</v>
      </c>
      <c r="E28" s="2">
        <v>44953</v>
      </c>
    </row>
    <row r="29" spans="1:5" x14ac:dyDescent="0.2">
      <c r="A29" t="s">
        <v>158</v>
      </c>
      <c r="B29">
        <v>1041.69</v>
      </c>
      <c r="C29" t="str">
        <f t="shared" si="0"/>
        <v>Small</v>
      </c>
      <c r="D29" t="s">
        <v>231</v>
      </c>
      <c r="E29" s="2">
        <v>44954</v>
      </c>
    </row>
    <row r="30" spans="1:5" x14ac:dyDescent="0.2">
      <c r="A30" t="s">
        <v>159</v>
      </c>
      <c r="B30">
        <v>4001.49</v>
      </c>
      <c r="C30" t="str">
        <f t="shared" si="0"/>
        <v>Small</v>
      </c>
      <c r="D30" t="s">
        <v>232</v>
      </c>
      <c r="E30" s="2">
        <v>44955</v>
      </c>
    </row>
    <row r="31" spans="1:5" x14ac:dyDescent="0.2">
      <c r="A31" t="s">
        <v>160</v>
      </c>
      <c r="B31">
        <v>4583.5200000000004</v>
      </c>
      <c r="C31" t="str">
        <f t="shared" si="0"/>
        <v>Small</v>
      </c>
      <c r="D31" t="s">
        <v>231</v>
      </c>
      <c r="E31" s="2">
        <v>44956</v>
      </c>
    </row>
    <row r="32" spans="1:5" x14ac:dyDescent="0.2">
      <c r="A32" t="s">
        <v>161</v>
      </c>
      <c r="B32">
        <v>5836.56</v>
      </c>
      <c r="C32" t="str">
        <f t="shared" si="0"/>
        <v xml:space="preserve">Large </v>
      </c>
      <c r="D32" t="s">
        <v>232</v>
      </c>
      <c r="E32" s="2">
        <v>44957</v>
      </c>
    </row>
    <row r="33" spans="1:5" x14ac:dyDescent="0.2">
      <c r="A33" t="s">
        <v>162</v>
      </c>
      <c r="B33">
        <v>9278.7000000000007</v>
      </c>
      <c r="C33" t="str">
        <f t="shared" si="0"/>
        <v xml:space="preserve">Large </v>
      </c>
      <c r="D33" t="s">
        <v>231</v>
      </c>
      <c r="E33" s="2">
        <v>44958</v>
      </c>
    </row>
    <row r="34" spans="1:5" x14ac:dyDescent="0.2">
      <c r="A34" t="s">
        <v>163</v>
      </c>
      <c r="B34">
        <v>4117.1099999999997</v>
      </c>
      <c r="C34" t="str">
        <f t="shared" si="0"/>
        <v>Small</v>
      </c>
      <c r="D34" t="s">
        <v>231</v>
      </c>
      <c r="E34" s="2">
        <v>44959</v>
      </c>
    </row>
    <row r="35" spans="1:5" x14ac:dyDescent="0.2">
      <c r="A35" t="s">
        <v>164</v>
      </c>
      <c r="B35">
        <v>4122.58</v>
      </c>
      <c r="C35" t="str">
        <f t="shared" si="0"/>
        <v>Small</v>
      </c>
      <c r="D35" t="s">
        <v>231</v>
      </c>
      <c r="E35" s="2">
        <v>44960</v>
      </c>
    </row>
    <row r="36" spans="1:5" x14ac:dyDescent="0.2">
      <c r="A36" t="s">
        <v>165</v>
      </c>
      <c r="B36">
        <v>7637.51</v>
      </c>
      <c r="C36" t="str">
        <f t="shared" si="0"/>
        <v xml:space="preserve">Large </v>
      </c>
      <c r="D36" t="s">
        <v>232</v>
      </c>
      <c r="E36" s="2">
        <v>44961</v>
      </c>
    </row>
    <row r="37" spans="1:5" x14ac:dyDescent="0.2">
      <c r="A37" t="s">
        <v>166</v>
      </c>
      <c r="B37">
        <v>5069.96</v>
      </c>
      <c r="C37" t="str">
        <f t="shared" si="0"/>
        <v xml:space="preserve">Large </v>
      </c>
      <c r="D37" t="s">
        <v>232</v>
      </c>
      <c r="E37" s="2">
        <v>44962</v>
      </c>
    </row>
    <row r="38" spans="1:5" x14ac:dyDescent="0.2">
      <c r="A38" t="s">
        <v>167</v>
      </c>
      <c r="B38">
        <v>3021.44</v>
      </c>
      <c r="C38" t="str">
        <f t="shared" si="0"/>
        <v>Small</v>
      </c>
      <c r="D38" t="s">
        <v>231</v>
      </c>
      <c r="E38" s="2">
        <v>44963</v>
      </c>
    </row>
    <row r="39" spans="1:5" x14ac:dyDescent="0.2">
      <c r="A39" t="s">
        <v>168</v>
      </c>
      <c r="B39">
        <v>5071.96</v>
      </c>
      <c r="C39" t="str">
        <f t="shared" si="0"/>
        <v xml:space="preserve">Large </v>
      </c>
      <c r="D39" t="s">
        <v>231</v>
      </c>
      <c r="E39" s="2">
        <v>44964</v>
      </c>
    </row>
    <row r="40" spans="1:5" x14ac:dyDescent="0.2">
      <c r="A40" t="s">
        <v>169</v>
      </c>
      <c r="B40">
        <v>2267.71</v>
      </c>
      <c r="C40" t="str">
        <f t="shared" si="0"/>
        <v>Small</v>
      </c>
      <c r="D40" t="s">
        <v>232</v>
      </c>
      <c r="E40" s="2">
        <v>44965</v>
      </c>
    </row>
    <row r="41" spans="1:5" x14ac:dyDescent="0.2">
      <c r="A41" t="s">
        <v>170</v>
      </c>
      <c r="B41">
        <v>2587.48</v>
      </c>
      <c r="C41" t="str">
        <f t="shared" si="0"/>
        <v>Small</v>
      </c>
      <c r="D41" t="s">
        <v>232</v>
      </c>
      <c r="E41" s="2">
        <v>44966</v>
      </c>
    </row>
    <row r="42" spans="1:5" x14ac:dyDescent="0.2">
      <c r="A42" t="s">
        <v>171</v>
      </c>
      <c r="B42">
        <v>5485.31</v>
      </c>
      <c r="C42" t="str">
        <f t="shared" si="0"/>
        <v xml:space="preserve">Large </v>
      </c>
      <c r="D42" t="s">
        <v>232</v>
      </c>
      <c r="E42" s="2">
        <v>44967</v>
      </c>
    </row>
    <row r="43" spans="1:5" x14ac:dyDescent="0.2">
      <c r="A43" t="s">
        <v>172</v>
      </c>
      <c r="B43">
        <v>4770.33</v>
      </c>
      <c r="C43" t="str">
        <f t="shared" si="0"/>
        <v>Small</v>
      </c>
      <c r="D43" t="s">
        <v>231</v>
      </c>
      <c r="E43" s="2">
        <v>44968</v>
      </c>
    </row>
    <row r="44" spans="1:5" x14ac:dyDescent="0.2">
      <c r="A44" t="s">
        <v>173</v>
      </c>
      <c r="B44">
        <v>9233.61</v>
      </c>
      <c r="C44" t="str">
        <f t="shared" si="0"/>
        <v xml:space="preserve">Large </v>
      </c>
      <c r="D44" t="s">
        <v>232</v>
      </c>
      <c r="E44" s="2">
        <v>44969</v>
      </c>
    </row>
    <row r="45" spans="1:5" x14ac:dyDescent="0.2">
      <c r="A45" t="s">
        <v>174</v>
      </c>
      <c r="B45">
        <v>4261.55</v>
      </c>
      <c r="C45" t="str">
        <f t="shared" si="0"/>
        <v>Small</v>
      </c>
      <c r="D45" t="s">
        <v>231</v>
      </c>
      <c r="E45" s="2">
        <v>44970</v>
      </c>
    </row>
    <row r="46" spans="1:5" x14ac:dyDescent="0.2">
      <c r="A46" t="s">
        <v>175</v>
      </c>
      <c r="B46">
        <v>6225.3</v>
      </c>
      <c r="C46" t="str">
        <f t="shared" si="0"/>
        <v xml:space="preserve">Large </v>
      </c>
      <c r="D46" t="s">
        <v>232</v>
      </c>
      <c r="E46" s="2">
        <v>44971</v>
      </c>
    </row>
    <row r="47" spans="1:5" x14ac:dyDescent="0.2">
      <c r="A47" t="s">
        <v>176</v>
      </c>
      <c r="B47">
        <v>6690.38</v>
      </c>
      <c r="C47" t="str">
        <f t="shared" si="0"/>
        <v xml:space="preserve">Large </v>
      </c>
      <c r="D47" t="s">
        <v>231</v>
      </c>
      <c r="E47" s="2">
        <v>44972</v>
      </c>
    </row>
    <row r="48" spans="1:5" x14ac:dyDescent="0.2">
      <c r="A48" t="s">
        <v>177</v>
      </c>
      <c r="B48">
        <v>1117.8499999999999</v>
      </c>
      <c r="C48" t="str">
        <f t="shared" si="0"/>
        <v>Small</v>
      </c>
      <c r="D48" t="s">
        <v>232</v>
      </c>
      <c r="E48" s="2">
        <v>44973</v>
      </c>
    </row>
    <row r="49" spans="1:5" x14ac:dyDescent="0.2">
      <c r="A49" t="s">
        <v>178</v>
      </c>
      <c r="B49">
        <v>6971.84</v>
      </c>
      <c r="C49" t="str">
        <f t="shared" si="0"/>
        <v xml:space="preserve">Large </v>
      </c>
      <c r="D49" t="s">
        <v>232</v>
      </c>
      <c r="E49" s="2">
        <v>44974</v>
      </c>
    </row>
    <row r="50" spans="1:5" x14ac:dyDescent="0.2">
      <c r="A50" t="s">
        <v>179</v>
      </c>
      <c r="B50">
        <v>2602.3200000000002</v>
      </c>
      <c r="C50" t="str">
        <f t="shared" si="0"/>
        <v>Small</v>
      </c>
      <c r="D50" t="s">
        <v>232</v>
      </c>
      <c r="E50" s="2">
        <v>44975</v>
      </c>
    </row>
    <row r="51" spans="1:5" x14ac:dyDescent="0.2">
      <c r="A51" t="s">
        <v>180</v>
      </c>
      <c r="B51">
        <v>9649.6299999999992</v>
      </c>
      <c r="C51" t="str">
        <f t="shared" si="0"/>
        <v xml:space="preserve">Large </v>
      </c>
      <c r="D51" t="s">
        <v>232</v>
      </c>
      <c r="E51" s="2">
        <v>44976</v>
      </c>
    </row>
    <row r="52" spans="1:5" x14ac:dyDescent="0.2">
      <c r="A52" t="s">
        <v>181</v>
      </c>
      <c r="B52">
        <v>2337.96</v>
      </c>
      <c r="C52" t="str">
        <f t="shared" si="0"/>
        <v>Small</v>
      </c>
      <c r="D52" t="s">
        <v>232</v>
      </c>
      <c r="E52" s="2">
        <v>44977</v>
      </c>
    </row>
    <row r="53" spans="1:5" x14ac:dyDescent="0.2">
      <c r="A53" t="s">
        <v>182</v>
      </c>
      <c r="B53">
        <v>4731.62</v>
      </c>
      <c r="C53" t="str">
        <f t="shared" si="0"/>
        <v>Small</v>
      </c>
      <c r="D53" t="s">
        <v>231</v>
      </c>
      <c r="E53" s="2">
        <v>44978</v>
      </c>
    </row>
    <row r="54" spans="1:5" x14ac:dyDescent="0.2">
      <c r="A54" t="s">
        <v>183</v>
      </c>
      <c r="B54">
        <v>1768.15</v>
      </c>
      <c r="C54" t="str">
        <f t="shared" si="0"/>
        <v>Small</v>
      </c>
      <c r="D54" t="s">
        <v>232</v>
      </c>
      <c r="E54" s="2">
        <v>44979</v>
      </c>
    </row>
    <row r="55" spans="1:5" x14ac:dyDescent="0.2">
      <c r="A55" t="s">
        <v>184</v>
      </c>
      <c r="B55">
        <v>9971.8700000000008</v>
      </c>
      <c r="C55" t="str">
        <f t="shared" si="0"/>
        <v xml:space="preserve">Large </v>
      </c>
      <c r="D55" t="s">
        <v>232</v>
      </c>
      <c r="E55" s="2">
        <v>44980</v>
      </c>
    </row>
    <row r="56" spans="1:5" x14ac:dyDescent="0.2">
      <c r="A56" t="s">
        <v>185</v>
      </c>
      <c r="B56">
        <v>5519.76</v>
      </c>
      <c r="C56" t="str">
        <f t="shared" si="0"/>
        <v xml:space="preserve">Large </v>
      </c>
      <c r="D56" t="s">
        <v>232</v>
      </c>
      <c r="E56" s="2">
        <v>44981</v>
      </c>
    </row>
    <row r="57" spans="1:5" x14ac:dyDescent="0.2">
      <c r="A57" t="s">
        <v>186</v>
      </c>
      <c r="B57">
        <v>6358.47</v>
      </c>
      <c r="C57" t="str">
        <f t="shared" si="0"/>
        <v xml:space="preserve">Large </v>
      </c>
      <c r="D57" t="s">
        <v>231</v>
      </c>
      <c r="E57" s="2">
        <v>44982</v>
      </c>
    </row>
    <row r="58" spans="1:5" x14ac:dyDescent="0.2">
      <c r="A58" t="s">
        <v>187</v>
      </c>
      <c r="B58">
        <v>1603.69</v>
      </c>
      <c r="C58" t="str">
        <f t="shared" si="0"/>
        <v>Small</v>
      </c>
      <c r="D58" t="s">
        <v>232</v>
      </c>
      <c r="E58" s="2">
        <v>44983</v>
      </c>
    </row>
    <row r="59" spans="1:5" x14ac:dyDescent="0.2">
      <c r="A59" t="s">
        <v>188</v>
      </c>
      <c r="B59">
        <v>7749.64</v>
      </c>
      <c r="C59" t="str">
        <f t="shared" si="0"/>
        <v xml:space="preserve">Large </v>
      </c>
      <c r="D59" t="s">
        <v>231</v>
      </c>
      <c r="E59" s="2">
        <v>44984</v>
      </c>
    </row>
    <row r="60" spans="1:5" x14ac:dyDescent="0.2">
      <c r="A60" t="s">
        <v>189</v>
      </c>
      <c r="B60">
        <v>2889.15</v>
      </c>
      <c r="C60" t="str">
        <f t="shared" si="0"/>
        <v>Small</v>
      </c>
      <c r="D60" t="s">
        <v>232</v>
      </c>
      <c r="E60" s="2">
        <v>44985</v>
      </c>
    </row>
    <row r="61" spans="1:5" x14ac:dyDescent="0.2">
      <c r="A61" t="s">
        <v>190</v>
      </c>
      <c r="B61">
        <v>9082.49</v>
      </c>
      <c r="C61" t="str">
        <f t="shared" si="0"/>
        <v xml:space="preserve">Large </v>
      </c>
      <c r="D61" t="s">
        <v>232</v>
      </c>
      <c r="E61" s="2">
        <v>44986</v>
      </c>
    </row>
    <row r="62" spans="1:5" x14ac:dyDescent="0.2">
      <c r="A62" t="s">
        <v>191</v>
      </c>
      <c r="B62">
        <v>2846.26</v>
      </c>
      <c r="C62" t="str">
        <f t="shared" si="0"/>
        <v>Small</v>
      </c>
      <c r="D62" t="s">
        <v>231</v>
      </c>
      <c r="E62" s="2">
        <v>44987</v>
      </c>
    </row>
    <row r="63" spans="1:5" x14ac:dyDescent="0.2">
      <c r="A63" t="s">
        <v>192</v>
      </c>
      <c r="B63">
        <v>2716.19</v>
      </c>
      <c r="C63" t="str">
        <f t="shared" si="0"/>
        <v>Small</v>
      </c>
      <c r="D63" t="s">
        <v>232</v>
      </c>
      <c r="E63" s="2">
        <v>44988</v>
      </c>
    </row>
    <row r="64" spans="1:5" x14ac:dyDescent="0.2">
      <c r="A64" t="s">
        <v>193</v>
      </c>
      <c r="B64">
        <v>1328.95</v>
      </c>
      <c r="C64" t="str">
        <f t="shared" si="0"/>
        <v>Small</v>
      </c>
      <c r="D64" t="s">
        <v>231</v>
      </c>
      <c r="E64" s="2">
        <v>44989</v>
      </c>
    </row>
    <row r="65" spans="1:5" x14ac:dyDescent="0.2">
      <c r="A65" t="s">
        <v>194</v>
      </c>
      <c r="B65">
        <v>5248.6</v>
      </c>
      <c r="C65" t="str">
        <f t="shared" si="0"/>
        <v xml:space="preserve">Large </v>
      </c>
      <c r="D65" t="s">
        <v>231</v>
      </c>
      <c r="E65" s="2">
        <v>44990</v>
      </c>
    </row>
    <row r="66" spans="1:5" x14ac:dyDescent="0.2">
      <c r="A66" t="s">
        <v>195</v>
      </c>
      <c r="B66">
        <v>6083.57</v>
      </c>
      <c r="C66" t="str">
        <f t="shared" si="0"/>
        <v xml:space="preserve">Large </v>
      </c>
      <c r="D66" t="s">
        <v>232</v>
      </c>
      <c r="E66" s="2">
        <v>44991</v>
      </c>
    </row>
    <row r="67" spans="1:5" x14ac:dyDescent="0.2">
      <c r="A67" t="s">
        <v>196</v>
      </c>
      <c r="B67">
        <v>1591.38</v>
      </c>
      <c r="C67" t="str">
        <f t="shared" si="0"/>
        <v>Small</v>
      </c>
      <c r="D67" t="s">
        <v>231</v>
      </c>
      <c r="E67" s="2">
        <v>44992</v>
      </c>
    </row>
    <row r="68" spans="1:5" x14ac:dyDescent="0.2">
      <c r="A68" t="s">
        <v>197</v>
      </c>
      <c r="B68">
        <v>7979.75</v>
      </c>
      <c r="C68" t="str">
        <f t="shared" ref="C68:C101" si="1">IF(B68&gt;$I$5,$I$3,$I$4)</f>
        <v xml:space="preserve">Large </v>
      </c>
      <c r="D68" t="s">
        <v>232</v>
      </c>
      <c r="E68" s="2">
        <v>44993</v>
      </c>
    </row>
    <row r="69" spans="1:5" x14ac:dyDescent="0.2">
      <c r="A69" t="s">
        <v>198</v>
      </c>
      <c r="B69">
        <v>5079.6000000000004</v>
      </c>
      <c r="C69" t="str">
        <f t="shared" si="1"/>
        <v xml:space="preserve">Large </v>
      </c>
      <c r="D69" t="s">
        <v>232</v>
      </c>
      <c r="E69" s="2">
        <v>44994</v>
      </c>
    </row>
    <row r="70" spans="1:5" x14ac:dyDescent="0.2">
      <c r="A70" t="s">
        <v>199</v>
      </c>
      <c r="B70">
        <v>5719.51</v>
      </c>
      <c r="C70" t="str">
        <f t="shared" si="1"/>
        <v xml:space="preserve">Large </v>
      </c>
      <c r="D70" t="s">
        <v>231</v>
      </c>
      <c r="E70" s="2">
        <v>44995</v>
      </c>
    </row>
    <row r="71" spans="1:5" x14ac:dyDescent="0.2">
      <c r="A71" t="s">
        <v>200</v>
      </c>
      <c r="B71">
        <v>4966.8599999999997</v>
      </c>
      <c r="C71" t="str">
        <f t="shared" si="1"/>
        <v>Small</v>
      </c>
      <c r="D71" t="s">
        <v>231</v>
      </c>
      <c r="E71" s="2">
        <v>44996</v>
      </c>
    </row>
    <row r="72" spans="1:5" x14ac:dyDescent="0.2">
      <c r="A72" t="s">
        <v>201</v>
      </c>
      <c r="B72">
        <v>4606.87</v>
      </c>
      <c r="C72" t="str">
        <f t="shared" si="1"/>
        <v>Small</v>
      </c>
      <c r="D72" t="s">
        <v>231</v>
      </c>
      <c r="E72" s="2">
        <v>44997</v>
      </c>
    </row>
    <row r="73" spans="1:5" x14ac:dyDescent="0.2">
      <c r="A73" t="s">
        <v>202</v>
      </c>
      <c r="B73">
        <v>6036.76</v>
      </c>
      <c r="C73" t="str">
        <f t="shared" si="1"/>
        <v xml:space="preserve">Large </v>
      </c>
      <c r="D73" t="s">
        <v>231</v>
      </c>
      <c r="E73" s="2">
        <v>44998</v>
      </c>
    </row>
    <row r="74" spans="1:5" x14ac:dyDescent="0.2">
      <c r="A74" t="s">
        <v>203</v>
      </c>
      <c r="B74">
        <v>2397.16</v>
      </c>
      <c r="C74" t="str">
        <f t="shared" si="1"/>
        <v>Small</v>
      </c>
      <c r="D74" t="s">
        <v>232</v>
      </c>
      <c r="E74" s="2">
        <v>44999</v>
      </c>
    </row>
    <row r="75" spans="1:5" x14ac:dyDescent="0.2">
      <c r="A75" t="s">
        <v>204</v>
      </c>
      <c r="B75">
        <v>2637.35</v>
      </c>
      <c r="C75" t="str">
        <f t="shared" si="1"/>
        <v>Small</v>
      </c>
      <c r="D75" t="s">
        <v>232</v>
      </c>
      <c r="E75" s="2">
        <v>45000</v>
      </c>
    </row>
    <row r="76" spans="1:5" x14ac:dyDescent="0.2">
      <c r="A76" t="s">
        <v>205</v>
      </c>
      <c r="B76">
        <v>8756.07</v>
      </c>
      <c r="C76" t="str">
        <f t="shared" si="1"/>
        <v xml:space="preserve">Large </v>
      </c>
      <c r="D76" t="s">
        <v>231</v>
      </c>
      <c r="E76" s="2">
        <v>45001</v>
      </c>
    </row>
    <row r="77" spans="1:5" x14ac:dyDescent="0.2">
      <c r="A77" t="s">
        <v>206</v>
      </c>
      <c r="B77">
        <v>9515.0400000000009</v>
      </c>
      <c r="C77" t="str">
        <f t="shared" si="1"/>
        <v xml:space="preserve">Large </v>
      </c>
      <c r="D77" t="s">
        <v>232</v>
      </c>
      <c r="E77" s="2">
        <v>45002</v>
      </c>
    </row>
    <row r="78" spans="1:5" x14ac:dyDescent="0.2">
      <c r="A78" t="s">
        <v>207</v>
      </c>
      <c r="B78">
        <v>4359.78</v>
      </c>
      <c r="C78" t="str">
        <f t="shared" si="1"/>
        <v>Small</v>
      </c>
      <c r="D78" t="s">
        <v>232</v>
      </c>
      <c r="E78" s="2">
        <v>45003</v>
      </c>
    </row>
    <row r="79" spans="1:5" x14ac:dyDescent="0.2">
      <c r="A79" t="s">
        <v>208</v>
      </c>
      <c r="B79">
        <v>3436.7</v>
      </c>
      <c r="C79" t="str">
        <f t="shared" si="1"/>
        <v>Small</v>
      </c>
      <c r="D79" t="s">
        <v>232</v>
      </c>
      <c r="E79" s="2">
        <v>45004</v>
      </c>
    </row>
    <row r="80" spans="1:5" x14ac:dyDescent="0.2">
      <c r="A80" t="s">
        <v>209</v>
      </c>
      <c r="B80">
        <v>6796</v>
      </c>
      <c r="C80" t="str">
        <f t="shared" si="1"/>
        <v xml:space="preserve">Large </v>
      </c>
      <c r="D80" t="s">
        <v>232</v>
      </c>
      <c r="E80" s="2">
        <v>45005</v>
      </c>
    </row>
    <row r="81" spans="1:5" x14ac:dyDescent="0.2">
      <c r="A81" t="s">
        <v>210</v>
      </c>
      <c r="B81">
        <v>4678.6099999999997</v>
      </c>
      <c r="C81" t="str">
        <f t="shared" si="1"/>
        <v>Small</v>
      </c>
      <c r="D81" t="s">
        <v>231</v>
      </c>
      <c r="E81" s="2">
        <v>45006</v>
      </c>
    </row>
    <row r="82" spans="1:5" x14ac:dyDescent="0.2">
      <c r="A82" t="s">
        <v>211</v>
      </c>
      <c r="B82">
        <v>1228.48</v>
      </c>
      <c r="C82" t="str">
        <f t="shared" si="1"/>
        <v>Small</v>
      </c>
      <c r="D82" t="s">
        <v>231</v>
      </c>
      <c r="E82" s="2">
        <v>45007</v>
      </c>
    </row>
    <row r="83" spans="1:5" x14ac:dyDescent="0.2">
      <c r="A83" t="s">
        <v>212</v>
      </c>
      <c r="B83">
        <v>2405.37</v>
      </c>
      <c r="C83" t="str">
        <f t="shared" si="1"/>
        <v>Small</v>
      </c>
      <c r="D83" t="s">
        <v>232</v>
      </c>
      <c r="E83" s="2">
        <v>45008</v>
      </c>
    </row>
    <row r="84" spans="1:5" x14ac:dyDescent="0.2">
      <c r="A84" t="s">
        <v>213</v>
      </c>
      <c r="B84">
        <v>7443.75</v>
      </c>
      <c r="C84" t="str">
        <f t="shared" si="1"/>
        <v xml:space="preserve">Large </v>
      </c>
      <c r="D84" t="s">
        <v>231</v>
      </c>
      <c r="E84" s="2">
        <v>45009</v>
      </c>
    </row>
    <row r="85" spans="1:5" x14ac:dyDescent="0.2">
      <c r="A85" t="s">
        <v>214</v>
      </c>
      <c r="B85">
        <v>6930.32</v>
      </c>
      <c r="C85" t="str">
        <f t="shared" si="1"/>
        <v xml:space="preserve">Large </v>
      </c>
      <c r="D85" t="s">
        <v>231</v>
      </c>
      <c r="E85" s="2">
        <v>45010</v>
      </c>
    </row>
    <row r="86" spans="1:5" x14ac:dyDescent="0.2">
      <c r="A86" t="s">
        <v>215</v>
      </c>
      <c r="B86">
        <v>1243.8599999999999</v>
      </c>
      <c r="C86" t="str">
        <f t="shared" si="1"/>
        <v>Small</v>
      </c>
      <c r="D86" t="s">
        <v>231</v>
      </c>
      <c r="E86" s="2">
        <v>45011</v>
      </c>
    </row>
    <row r="87" spans="1:5" x14ac:dyDescent="0.2">
      <c r="A87" t="s">
        <v>216</v>
      </c>
      <c r="B87">
        <v>2997.75</v>
      </c>
      <c r="C87" t="str">
        <f t="shared" si="1"/>
        <v>Small</v>
      </c>
      <c r="D87" t="s">
        <v>232</v>
      </c>
      <c r="E87" s="2">
        <v>45012</v>
      </c>
    </row>
    <row r="88" spans="1:5" x14ac:dyDescent="0.2">
      <c r="A88" t="s">
        <v>217</v>
      </c>
      <c r="B88">
        <v>3079.67</v>
      </c>
      <c r="C88" t="str">
        <f t="shared" si="1"/>
        <v>Small</v>
      </c>
      <c r="D88" t="s">
        <v>232</v>
      </c>
      <c r="E88" s="2">
        <v>45013</v>
      </c>
    </row>
    <row r="89" spans="1:5" x14ac:dyDescent="0.2">
      <c r="A89" t="s">
        <v>218</v>
      </c>
      <c r="B89">
        <v>7047.03</v>
      </c>
      <c r="C89" t="str">
        <f t="shared" si="1"/>
        <v xml:space="preserve">Large </v>
      </c>
      <c r="D89" t="s">
        <v>232</v>
      </c>
      <c r="E89" s="2">
        <v>45014</v>
      </c>
    </row>
    <row r="90" spans="1:5" x14ac:dyDescent="0.2">
      <c r="A90" t="s">
        <v>219</v>
      </c>
      <c r="B90">
        <v>1177.3900000000001</v>
      </c>
      <c r="C90" t="str">
        <f t="shared" si="1"/>
        <v>Small</v>
      </c>
      <c r="D90" t="s">
        <v>231</v>
      </c>
      <c r="E90" s="2">
        <v>45015</v>
      </c>
    </row>
    <row r="91" spans="1:5" x14ac:dyDescent="0.2">
      <c r="A91" t="s">
        <v>220</v>
      </c>
      <c r="B91">
        <v>1936.98</v>
      </c>
      <c r="C91" t="str">
        <f t="shared" si="1"/>
        <v>Small</v>
      </c>
      <c r="D91" t="s">
        <v>232</v>
      </c>
      <c r="E91" s="2">
        <v>45016</v>
      </c>
    </row>
    <row r="92" spans="1:5" x14ac:dyDescent="0.2">
      <c r="A92" t="s">
        <v>221</v>
      </c>
      <c r="B92">
        <v>8199.24</v>
      </c>
      <c r="C92" t="str">
        <f t="shared" si="1"/>
        <v xml:space="preserve">Large </v>
      </c>
      <c r="D92" t="s">
        <v>232</v>
      </c>
      <c r="E92" s="2">
        <v>45017</v>
      </c>
    </row>
    <row r="93" spans="1:5" x14ac:dyDescent="0.2">
      <c r="A93" t="s">
        <v>222</v>
      </c>
      <c r="B93">
        <v>2606.9</v>
      </c>
      <c r="C93" t="str">
        <f t="shared" si="1"/>
        <v>Small</v>
      </c>
      <c r="D93" t="s">
        <v>231</v>
      </c>
      <c r="E93" s="2">
        <v>45018</v>
      </c>
    </row>
    <row r="94" spans="1:5" x14ac:dyDescent="0.2">
      <c r="A94" t="s">
        <v>223</v>
      </c>
      <c r="B94">
        <v>6874.71</v>
      </c>
      <c r="C94" t="str">
        <f t="shared" si="1"/>
        <v xml:space="preserve">Large </v>
      </c>
      <c r="D94" t="s">
        <v>232</v>
      </c>
      <c r="E94" s="2">
        <v>45019</v>
      </c>
    </row>
    <row r="95" spans="1:5" x14ac:dyDescent="0.2">
      <c r="A95" t="s">
        <v>224</v>
      </c>
      <c r="B95">
        <v>3143.65</v>
      </c>
      <c r="C95" t="str">
        <f t="shared" si="1"/>
        <v>Small</v>
      </c>
      <c r="D95" t="s">
        <v>232</v>
      </c>
      <c r="E95" s="2">
        <v>45020</v>
      </c>
    </row>
    <row r="96" spans="1:5" x14ac:dyDescent="0.2">
      <c r="A96" t="s">
        <v>225</v>
      </c>
      <c r="B96">
        <v>1894.97</v>
      </c>
      <c r="C96" t="str">
        <f t="shared" si="1"/>
        <v>Small</v>
      </c>
      <c r="D96" t="s">
        <v>231</v>
      </c>
      <c r="E96" s="2">
        <v>45021</v>
      </c>
    </row>
    <row r="97" spans="1:5" x14ac:dyDescent="0.2">
      <c r="A97" t="s">
        <v>226</v>
      </c>
      <c r="B97">
        <v>3188.55</v>
      </c>
      <c r="C97" t="str">
        <f t="shared" si="1"/>
        <v>Small</v>
      </c>
      <c r="D97" t="s">
        <v>231</v>
      </c>
      <c r="E97" s="2">
        <v>45022</v>
      </c>
    </row>
    <row r="98" spans="1:5" x14ac:dyDescent="0.2">
      <c r="A98" t="s">
        <v>227</v>
      </c>
      <c r="B98">
        <v>7500.4</v>
      </c>
      <c r="C98" t="str">
        <f t="shared" si="1"/>
        <v xml:space="preserve">Large </v>
      </c>
      <c r="D98" t="s">
        <v>231</v>
      </c>
      <c r="E98" s="2">
        <v>45023</v>
      </c>
    </row>
    <row r="99" spans="1:5" x14ac:dyDescent="0.2">
      <c r="A99" t="s">
        <v>228</v>
      </c>
      <c r="B99">
        <v>8701.27</v>
      </c>
      <c r="C99" t="str">
        <f t="shared" si="1"/>
        <v xml:space="preserve">Large </v>
      </c>
      <c r="D99" t="s">
        <v>232</v>
      </c>
      <c r="E99" s="2">
        <v>45024</v>
      </c>
    </row>
    <row r="100" spans="1:5" x14ac:dyDescent="0.2">
      <c r="A100" t="s">
        <v>229</v>
      </c>
      <c r="B100">
        <v>8471.98</v>
      </c>
      <c r="C100" t="str">
        <f t="shared" si="1"/>
        <v xml:space="preserve">Large </v>
      </c>
      <c r="D100" t="s">
        <v>232</v>
      </c>
      <c r="E100" s="2">
        <v>45025</v>
      </c>
    </row>
    <row r="101" spans="1:5" x14ac:dyDescent="0.2">
      <c r="A101" t="s">
        <v>230</v>
      </c>
      <c r="B101">
        <v>4574.6499999999996</v>
      </c>
      <c r="C101" t="str">
        <f t="shared" si="1"/>
        <v>Small</v>
      </c>
      <c r="D101" t="s">
        <v>232</v>
      </c>
      <c r="E101" s="2">
        <v>45026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6360-6AA0-5E4B-9CFA-181ECCD9DC4F}">
  <dimension ref="H1:S11"/>
  <sheetViews>
    <sheetView topLeftCell="A2" workbookViewId="0">
      <selection activeCell="U23" sqref="U23"/>
    </sheetView>
  </sheetViews>
  <sheetFormatPr baseColWidth="10" defaultRowHeight="15" x14ac:dyDescent="0.2"/>
  <sheetData>
    <row r="1" spans="8:19" ht="20" x14ac:dyDescent="0.2">
      <c r="S1" s="3" t="s">
        <v>295</v>
      </c>
    </row>
    <row r="4" spans="8:19" x14ac:dyDescent="0.2">
      <c r="H4" s="5" t="s">
        <v>128</v>
      </c>
      <c r="I4" t="s">
        <v>318</v>
      </c>
    </row>
    <row r="5" spans="8:19" ht="20" x14ac:dyDescent="0.2">
      <c r="P5" s="3" t="s">
        <v>296</v>
      </c>
    </row>
    <row r="6" spans="8:19" ht="20" x14ac:dyDescent="0.2">
      <c r="H6" s="5" t="s">
        <v>317</v>
      </c>
      <c r="I6" s="5" t="s">
        <v>266</v>
      </c>
      <c r="P6" s="3" t="s">
        <v>297</v>
      </c>
    </row>
    <row r="7" spans="8:19" ht="20" x14ac:dyDescent="0.2">
      <c r="H7" s="5" t="s">
        <v>261</v>
      </c>
      <c r="I7" t="s">
        <v>241</v>
      </c>
      <c r="J7" t="s">
        <v>247</v>
      </c>
      <c r="K7" t="s">
        <v>237</v>
      </c>
      <c r="L7" t="s">
        <v>248</v>
      </c>
      <c r="M7" t="s">
        <v>262</v>
      </c>
      <c r="P7" s="3" t="s">
        <v>256</v>
      </c>
    </row>
    <row r="8" spans="8:19" ht="20" x14ac:dyDescent="0.2">
      <c r="H8" s="6" t="s">
        <v>231</v>
      </c>
      <c r="I8" s="23">
        <v>112980.24000000002</v>
      </c>
      <c r="J8" s="23">
        <v>60173.78</v>
      </c>
      <c r="K8" s="23">
        <v>63803.670000000006</v>
      </c>
      <c r="L8" s="23">
        <v>15190.82</v>
      </c>
      <c r="M8" s="23">
        <v>252148.51000000004</v>
      </c>
      <c r="P8" s="4" t="s">
        <v>298</v>
      </c>
    </row>
    <row r="9" spans="8:19" ht="20" x14ac:dyDescent="0.2">
      <c r="H9" s="6" t="s">
        <v>232</v>
      </c>
      <c r="I9" s="23">
        <v>74158.679999999993</v>
      </c>
      <c r="J9" s="23">
        <v>82939.099999999991</v>
      </c>
      <c r="K9" s="23">
        <v>77550.429999999993</v>
      </c>
      <c r="L9" s="23">
        <v>39965.500000000007</v>
      </c>
      <c r="M9" s="23">
        <v>274613.70999999996</v>
      </c>
      <c r="P9" s="4" t="s">
        <v>299</v>
      </c>
    </row>
    <row r="10" spans="8:19" ht="20" x14ac:dyDescent="0.2">
      <c r="H10" s="6" t="s">
        <v>262</v>
      </c>
      <c r="I10" s="23">
        <v>187138.92</v>
      </c>
      <c r="J10" s="23">
        <v>143112.88</v>
      </c>
      <c r="K10" s="23">
        <v>141354.1</v>
      </c>
      <c r="L10" s="23">
        <v>55156.320000000007</v>
      </c>
      <c r="M10" s="23">
        <v>526762.22</v>
      </c>
      <c r="P10" s="4" t="s">
        <v>300</v>
      </c>
    </row>
    <row r="11" spans="8:19" ht="20" x14ac:dyDescent="0.2">
      <c r="P11" s="4" t="s">
        <v>301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1"/>
  <sheetViews>
    <sheetView topLeftCell="B1" workbookViewId="0">
      <selection activeCell="N29" sqref="N29:O31"/>
    </sheetView>
  </sheetViews>
  <sheetFormatPr baseColWidth="10" defaultColWidth="8.83203125" defaultRowHeight="15" x14ac:dyDescent="0.2"/>
  <cols>
    <col min="3" max="3" width="14.5" customWidth="1"/>
    <col min="4" max="4" width="21.83203125" customWidth="1"/>
    <col min="5" max="5" width="17.6640625" customWidth="1"/>
    <col min="6" max="6" width="15.5" customWidth="1"/>
    <col min="7" max="7" width="21.83203125" customWidth="1"/>
    <col min="8" max="8" width="22.1640625" customWidth="1"/>
    <col min="9" max="9" width="21.33203125" customWidth="1"/>
  </cols>
  <sheetData>
    <row r="1" spans="1:13" ht="20" x14ac:dyDescent="0.2">
      <c r="A1" s="16" t="s">
        <v>233</v>
      </c>
      <c r="B1" s="16" t="s">
        <v>234</v>
      </c>
      <c r="C1" s="16" t="s">
        <v>235</v>
      </c>
      <c r="D1" s="17" t="s">
        <v>313</v>
      </c>
      <c r="E1" s="16" t="s">
        <v>236</v>
      </c>
      <c r="F1" s="18" t="s">
        <v>309</v>
      </c>
      <c r="G1" s="19" t="s">
        <v>310</v>
      </c>
      <c r="H1" s="20" t="s">
        <v>311</v>
      </c>
      <c r="I1" s="20" t="s">
        <v>312</v>
      </c>
      <c r="M1" s="3" t="s">
        <v>303</v>
      </c>
    </row>
    <row r="2" spans="1:13" x14ac:dyDescent="0.2">
      <c r="A2">
        <v>2022</v>
      </c>
      <c r="B2" t="s">
        <v>237</v>
      </c>
      <c r="C2" t="s">
        <v>249</v>
      </c>
      <c r="D2">
        <v>32.4</v>
      </c>
      <c r="E2">
        <v>8.26</v>
      </c>
      <c r="F2" t="str">
        <f>A2 &amp; "-" &amp; B2</f>
        <v>2022-Mar</v>
      </c>
      <c r="G2" s="21" t="str" cm="1">
        <f t="array" ref="G2:G25">_xlfn.UNIQUE(F2:F101)</f>
        <v>2022-Mar</v>
      </c>
      <c r="H2" s="22">
        <f>AVERAGEIF($F$2:$F$101,G2,$D$2:$D$101)</f>
        <v>51.859999999999992</v>
      </c>
      <c r="I2" s="22">
        <f>AVERAGEIF($F$2:$F$101,G2,$E$2:$E$101)</f>
        <v>7.5020000000000007</v>
      </c>
    </row>
    <row r="3" spans="1:13" ht="20" x14ac:dyDescent="0.2">
      <c r="A3">
        <v>2022</v>
      </c>
      <c r="B3" t="s">
        <v>238</v>
      </c>
      <c r="C3" t="s">
        <v>249</v>
      </c>
      <c r="D3">
        <v>92.6</v>
      </c>
      <c r="E3">
        <v>2.98</v>
      </c>
      <c r="F3" t="str">
        <f t="shared" ref="F3:F66" si="0">A3 &amp; "-" &amp; B3</f>
        <v>2022-May</v>
      </c>
      <c r="G3" s="21" t="str">
        <v>2022-May</v>
      </c>
      <c r="H3" s="22">
        <f t="shared" ref="H3:H25" si="1">AVERAGEIF($F$2:$F$101,G3,$D$2:$D$101)</f>
        <v>62.349999999999994</v>
      </c>
      <c r="I3" s="22">
        <f t="shared" ref="I3:I25" si="2">AVERAGEIF($F$2:$F$101,G3,$E$2:$E$101)</f>
        <v>6.4483333333333333</v>
      </c>
      <c r="M3" s="3" t="s">
        <v>304</v>
      </c>
    </row>
    <row r="4" spans="1:13" ht="20" x14ac:dyDescent="0.2">
      <c r="A4">
        <v>2023</v>
      </c>
      <c r="B4" t="s">
        <v>239</v>
      </c>
      <c r="C4" t="s">
        <v>250</v>
      </c>
      <c r="D4">
        <v>90.2</v>
      </c>
      <c r="E4">
        <v>8.4</v>
      </c>
      <c r="F4" t="str">
        <f t="shared" si="0"/>
        <v>2023-Dec</v>
      </c>
      <c r="G4" s="21" t="str">
        <v>2023-Dec</v>
      </c>
      <c r="H4" s="22">
        <f t="shared" si="1"/>
        <v>67.614285714285728</v>
      </c>
      <c r="I4" s="22">
        <f t="shared" si="2"/>
        <v>6.0271428571428567</v>
      </c>
      <c r="M4" s="3" t="s">
        <v>305</v>
      </c>
    </row>
    <row r="5" spans="1:13" ht="20" x14ac:dyDescent="0.2">
      <c r="A5">
        <v>2023</v>
      </c>
      <c r="B5" t="s">
        <v>240</v>
      </c>
      <c r="C5" t="s">
        <v>251</v>
      </c>
      <c r="D5">
        <v>62</v>
      </c>
      <c r="E5">
        <v>7.73</v>
      </c>
      <c r="F5" t="str">
        <f t="shared" si="0"/>
        <v>2023-Nov</v>
      </c>
      <c r="G5" s="21" t="str">
        <v>2023-Nov</v>
      </c>
      <c r="H5" s="22">
        <f t="shared" si="1"/>
        <v>77.75</v>
      </c>
      <c r="I5" s="22">
        <f t="shared" si="2"/>
        <v>4.8849999999999998</v>
      </c>
      <c r="M5" s="3" t="s">
        <v>256</v>
      </c>
    </row>
    <row r="6" spans="1:13" ht="20" x14ac:dyDescent="0.2">
      <c r="A6">
        <v>2022</v>
      </c>
      <c r="B6" t="s">
        <v>240</v>
      </c>
      <c r="C6" t="s">
        <v>251</v>
      </c>
      <c r="D6">
        <v>57.4</v>
      </c>
      <c r="E6">
        <v>2.2999999999999998</v>
      </c>
      <c r="F6" t="str">
        <f t="shared" si="0"/>
        <v>2022-Nov</v>
      </c>
      <c r="G6" s="21" t="str">
        <v>2022-Nov</v>
      </c>
      <c r="H6" s="22">
        <f t="shared" si="1"/>
        <v>53.95000000000001</v>
      </c>
      <c r="I6" s="22">
        <f t="shared" si="2"/>
        <v>5.3900000000000006</v>
      </c>
      <c r="M6" s="4" t="s">
        <v>306</v>
      </c>
    </row>
    <row r="7" spans="1:13" ht="20" x14ac:dyDescent="0.2">
      <c r="A7">
        <v>2022</v>
      </c>
      <c r="B7" t="s">
        <v>241</v>
      </c>
      <c r="C7" t="s">
        <v>252</v>
      </c>
      <c r="D7">
        <v>49.1</v>
      </c>
      <c r="E7">
        <v>1.31</v>
      </c>
      <c r="F7" t="str">
        <f t="shared" si="0"/>
        <v>2022-Jan</v>
      </c>
      <c r="G7" s="21" t="str">
        <v>2022-Jan</v>
      </c>
      <c r="H7" s="22">
        <f t="shared" si="1"/>
        <v>71.149999999999991</v>
      </c>
      <c r="I7" s="22">
        <f t="shared" si="2"/>
        <v>4.2450000000000001</v>
      </c>
      <c r="M7" s="4" t="s">
        <v>307</v>
      </c>
    </row>
    <row r="8" spans="1:13" ht="20" x14ac:dyDescent="0.2">
      <c r="A8">
        <v>2022</v>
      </c>
      <c r="B8" t="s">
        <v>241</v>
      </c>
      <c r="C8" t="s">
        <v>251</v>
      </c>
      <c r="D8">
        <v>63.4</v>
      </c>
      <c r="E8">
        <v>8.68</v>
      </c>
      <c r="F8" t="str">
        <f t="shared" si="0"/>
        <v>2022-Jan</v>
      </c>
      <c r="G8" s="21" t="str">
        <v>2022-Oct</v>
      </c>
      <c r="H8" s="22">
        <f t="shared" si="1"/>
        <v>71.180000000000007</v>
      </c>
      <c r="I8" s="22">
        <f t="shared" si="2"/>
        <v>4.6360000000000001</v>
      </c>
      <c r="M8" s="4" t="s">
        <v>308</v>
      </c>
    </row>
    <row r="9" spans="1:13" x14ac:dyDescent="0.2">
      <c r="A9">
        <v>2022</v>
      </c>
      <c r="B9" t="s">
        <v>242</v>
      </c>
      <c r="C9" t="s">
        <v>249</v>
      </c>
      <c r="D9">
        <v>33.1</v>
      </c>
      <c r="E9">
        <v>9.6300000000000008</v>
      </c>
      <c r="F9" t="str">
        <f t="shared" si="0"/>
        <v>2022-Oct</v>
      </c>
      <c r="G9" s="21" t="str">
        <v>2023-Sep</v>
      </c>
      <c r="H9" s="22">
        <f t="shared" si="1"/>
        <v>74.837500000000006</v>
      </c>
      <c r="I9" s="22">
        <f t="shared" si="2"/>
        <v>4.2687499999999998</v>
      </c>
    </row>
    <row r="10" spans="1:13" x14ac:dyDescent="0.2">
      <c r="A10">
        <v>2023</v>
      </c>
      <c r="B10" t="s">
        <v>243</v>
      </c>
      <c r="C10" t="s">
        <v>251</v>
      </c>
      <c r="D10">
        <v>89.7</v>
      </c>
      <c r="E10">
        <v>0.31</v>
      </c>
      <c r="F10" t="str">
        <f t="shared" si="0"/>
        <v>2023-Sep</v>
      </c>
      <c r="G10" s="21" t="str">
        <v>2022-Jul</v>
      </c>
      <c r="H10" s="22">
        <f t="shared" si="1"/>
        <v>65.73</v>
      </c>
      <c r="I10" s="22">
        <f t="shared" si="2"/>
        <v>4.1440000000000001</v>
      </c>
    </row>
    <row r="11" spans="1:13" x14ac:dyDescent="0.2">
      <c r="A11">
        <v>2022</v>
      </c>
      <c r="B11" t="s">
        <v>244</v>
      </c>
      <c r="C11" t="s">
        <v>252</v>
      </c>
      <c r="D11">
        <v>32.5</v>
      </c>
      <c r="E11">
        <v>7.31</v>
      </c>
      <c r="F11" t="str">
        <f t="shared" si="0"/>
        <v>2022-Jul</v>
      </c>
      <c r="G11" s="21" t="str">
        <v>2023-Jan</v>
      </c>
      <c r="H11" s="22">
        <f t="shared" si="1"/>
        <v>61.266666666666673</v>
      </c>
      <c r="I11" s="22">
        <f t="shared" si="2"/>
        <v>8.5566666666666666</v>
      </c>
    </row>
    <row r="12" spans="1:13" x14ac:dyDescent="0.2">
      <c r="A12">
        <v>2023</v>
      </c>
      <c r="B12" t="s">
        <v>241</v>
      </c>
      <c r="C12" t="s">
        <v>250</v>
      </c>
      <c r="D12">
        <v>53</v>
      </c>
      <c r="E12">
        <v>9.1</v>
      </c>
      <c r="F12" t="str">
        <f t="shared" si="0"/>
        <v>2023-Jan</v>
      </c>
      <c r="G12" s="21" t="str">
        <v>2023-Aug</v>
      </c>
      <c r="H12" s="22">
        <f t="shared" si="1"/>
        <v>86.6</v>
      </c>
      <c r="I12" s="22">
        <f t="shared" si="2"/>
        <v>5.9550000000000001</v>
      </c>
    </row>
    <row r="13" spans="1:13" x14ac:dyDescent="0.2">
      <c r="A13">
        <v>2023</v>
      </c>
      <c r="B13" t="s">
        <v>239</v>
      </c>
      <c r="C13" t="s">
        <v>252</v>
      </c>
      <c r="D13">
        <v>95.2</v>
      </c>
      <c r="E13">
        <v>8.57</v>
      </c>
      <c r="F13" t="str">
        <f t="shared" si="0"/>
        <v>2023-Dec</v>
      </c>
      <c r="G13" s="21" t="str">
        <v>2022-Aug</v>
      </c>
      <c r="H13" s="22">
        <f t="shared" si="1"/>
        <v>61.933333333333337</v>
      </c>
      <c r="I13" s="22">
        <f t="shared" si="2"/>
        <v>6.5633333333333335</v>
      </c>
    </row>
    <row r="14" spans="1:13" x14ac:dyDescent="0.2">
      <c r="A14">
        <v>2023</v>
      </c>
      <c r="B14" t="s">
        <v>245</v>
      </c>
      <c r="C14" t="s">
        <v>252</v>
      </c>
      <c r="D14">
        <v>81.5</v>
      </c>
      <c r="E14">
        <v>9.65</v>
      </c>
      <c r="F14" t="str">
        <f t="shared" si="0"/>
        <v>2023-Aug</v>
      </c>
      <c r="G14" s="21" t="str">
        <v>2023-Jul</v>
      </c>
      <c r="H14" s="22">
        <f t="shared" si="1"/>
        <v>48.04</v>
      </c>
      <c r="I14" s="22">
        <f t="shared" si="2"/>
        <v>6.8280000000000003</v>
      </c>
    </row>
    <row r="15" spans="1:13" x14ac:dyDescent="0.2">
      <c r="A15">
        <v>2022</v>
      </c>
      <c r="B15" t="s">
        <v>237</v>
      </c>
      <c r="C15" t="s">
        <v>250</v>
      </c>
      <c r="D15">
        <v>49.7</v>
      </c>
      <c r="E15">
        <v>7.6</v>
      </c>
      <c r="F15" t="str">
        <f t="shared" si="0"/>
        <v>2022-Mar</v>
      </c>
      <c r="G15" s="21" t="str">
        <v>2022-Jun</v>
      </c>
      <c r="H15" s="22">
        <f t="shared" si="1"/>
        <v>90.65</v>
      </c>
      <c r="I15" s="22">
        <f t="shared" si="2"/>
        <v>5.415</v>
      </c>
    </row>
    <row r="16" spans="1:13" x14ac:dyDescent="0.2">
      <c r="A16">
        <v>2022</v>
      </c>
      <c r="B16" t="s">
        <v>245</v>
      </c>
      <c r="C16" t="s">
        <v>252</v>
      </c>
      <c r="D16">
        <v>47.7</v>
      </c>
      <c r="E16">
        <v>4.42</v>
      </c>
      <c r="F16" t="str">
        <f t="shared" si="0"/>
        <v>2022-Aug</v>
      </c>
      <c r="G16" s="21" t="str">
        <v>2023-Jun</v>
      </c>
      <c r="H16" s="22">
        <f t="shared" si="1"/>
        <v>39.450000000000003</v>
      </c>
      <c r="I16" s="22">
        <f t="shared" si="2"/>
        <v>5.2649999999999997</v>
      </c>
    </row>
    <row r="17" spans="1:9" x14ac:dyDescent="0.2">
      <c r="A17">
        <v>2022</v>
      </c>
      <c r="B17" t="s">
        <v>238</v>
      </c>
      <c r="C17" t="s">
        <v>252</v>
      </c>
      <c r="D17">
        <v>30.4</v>
      </c>
      <c r="E17">
        <v>3.12</v>
      </c>
      <c r="F17" t="str">
        <f t="shared" si="0"/>
        <v>2022-May</v>
      </c>
      <c r="G17" s="21" t="str">
        <v>2023-Feb</v>
      </c>
      <c r="H17" s="22">
        <f t="shared" si="1"/>
        <v>44.733333333333327</v>
      </c>
      <c r="I17" s="22">
        <f t="shared" si="2"/>
        <v>6.18</v>
      </c>
    </row>
    <row r="18" spans="1:9" x14ac:dyDescent="0.2">
      <c r="A18">
        <v>2022</v>
      </c>
      <c r="B18" t="s">
        <v>241</v>
      </c>
      <c r="C18" t="s">
        <v>251</v>
      </c>
      <c r="D18">
        <v>78.7</v>
      </c>
      <c r="E18">
        <v>3.21</v>
      </c>
      <c r="F18" t="str">
        <f t="shared" si="0"/>
        <v>2022-Jan</v>
      </c>
      <c r="G18" s="21" t="str">
        <v>2023-Oct</v>
      </c>
      <c r="H18" s="22">
        <f t="shared" si="1"/>
        <v>64.900000000000006</v>
      </c>
      <c r="I18" s="22">
        <f t="shared" si="2"/>
        <v>4.04</v>
      </c>
    </row>
    <row r="19" spans="1:9" x14ac:dyDescent="0.2">
      <c r="A19">
        <v>2023</v>
      </c>
      <c r="B19" t="s">
        <v>244</v>
      </c>
      <c r="C19" t="s">
        <v>251</v>
      </c>
      <c r="D19">
        <v>33.4</v>
      </c>
      <c r="E19">
        <v>7.24</v>
      </c>
      <c r="F19" t="str">
        <f t="shared" si="0"/>
        <v>2023-Jul</v>
      </c>
      <c r="G19" s="21" t="str">
        <v>2022-Sep</v>
      </c>
      <c r="H19" s="22">
        <f t="shared" si="1"/>
        <v>78.900000000000006</v>
      </c>
      <c r="I19" s="22">
        <f t="shared" si="2"/>
        <v>2.48</v>
      </c>
    </row>
    <row r="20" spans="1:9" x14ac:dyDescent="0.2">
      <c r="A20">
        <v>2022</v>
      </c>
      <c r="B20" t="s">
        <v>238</v>
      </c>
      <c r="C20" t="s">
        <v>250</v>
      </c>
      <c r="D20">
        <v>67.3</v>
      </c>
      <c r="E20">
        <v>7.46</v>
      </c>
      <c r="F20" t="str">
        <f t="shared" si="0"/>
        <v>2022-May</v>
      </c>
      <c r="G20" s="21" t="str">
        <v>2023-Mar</v>
      </c>
      <c r="H20" s="22">
        <f t="shared" si="1"/>
        <v>63.233333333333341</v>
      </c>
      <c r="I20" s="22">
        <f t="shared" si="2"/>
        <v>4.8833333333333337</v>
      </c>
    </row>
    <row r="21" spans="1:9" x14ac:dyDescent="0.2">
      <c r="A21">
        <v>2022</v>
      </c>
      <c r="B21" t="s">
        <v>246</v>
      </c>
      <c r="C21" t="s">
        <v>251</v>
      </c>
      <c r="D21">
        <v>97.3</v>
      </c>
      <c r="E21">
        <v>2</v>
      </c>
      <c r="F21" t="str">
        <f t="shared" si="0"/>
        <v>2022-Jun</v>
      </c>
      <c r="G21" s="21" t="str">
        <v>2022-Feb</v>
      </c>
      <c r="H21" s="22">
        <f t="shared" si="1"/>
        <v>68.233333333333334</v>
      </c>
      <c r="I21" s="22">
        <f t="shared" si="2"/>
        <v>4.32</v>
      </c>
    </row>
    <row r="22" spans="1:9" x14ac:dyDescent="0.2">
      <c r="A22">
        <v>2023</v>
      </c>
      <c r="B22" t="s">
        <v>246</v>
      </c>
      <c r="C22" t="s">
        <v>251</v>
      </c>
      <c r="D22">
        <v>37.700000000000003</v>
      </c>
      <c r="E22">
        <v>8.68</v>
      </c>
      <c r="F22" t="str">
        <f t="shared" si="0"/>
        <v>2023-Jun</v>
      </c>
      <c r="G22" s="21" t="str">
        <v>2022-Apr</v>
      </c>
      <c r="H22" s="22">
        <f t="shared" si="1"/>
        <v>71.7</v>
      </c>
      <c r="I22" s="22">
        <f t="shared" si="2"/>
        <v>3.66</v>
      </c>
    </row>
    <row r="23" spans="1:9" x14ac:dyDescent="0.2">
      <c r="A23">
        <v>2022</v>
      </c>
      <c r="B23" t="s">
        <v>245</v>
      </c>
      <c r="C23" t="s">
        <v>252</v>
      </c>
      <c r="D23">
        <v>92.6</v>
      </c>
      <c r="E23">
        <v>7.15</v>
      </c>
      <c r="F23" t="str">
        <f t="shared" si="0"/>
        <v>2022-Aug</v>
      </c>
      <c r="G23" s="21" t="str">
        <v>2022-Dec</v>
      </c>
      <c r="H23" s="22">
        <f t="shared" si="1"/>
        <v>66.2</v>
      </c>
      <c r="I23" s="22">
        <f t="shared" si="2"/>
        <v>9.6499999999999986</v>
      </c>
    </row>
    <row r="24" spans="1:9" x14ac:dyDescent="0.2">
      <c r="A24">
        <v>2023</v>
      </c>
      <c r="B24" t="s">
        <v>243</v>
      </c>
      <c r="C24" t="s">
        <v>249</v>
      </c>
      <c r="D24">
        <v>99.4</v>
      </c>
      <c r="E24">
        <v>5.63</v>
      </c>
      <c r="F24" t="str">
        <f t="shared" si="0"/>
        <v>2023-Sep</v>
      </c>
      <c r="G24" s="21" t="str">
        <v>2023-May</v>
      </c>
      <c r="H24" s="22">
        <f t="shared" si="1"/>
        <v>87.3</v>
      </c>
      <c r="I24" s="22">
        <f t="shared" si="2"/>
        <v>1.46</v>
      </c>
    </row>
    <row r="25" spans="1:9" x14ac:dyDescent="0.2">
      <c r="A25">
        <v>2023</v>
      </c>
      <c r="B25" t="s">
        <v>247</v>
      </c>
      <c r="C25" t="s">
        <v>251</v>
      </c>
      <c r="D25">
        <v>34.299999999999997</v>
      </c>
      <c r="E25">
        <v>4.72</v>
      </c>
      <c r="F25" t="str">
        <f t="shared" si="0"/>
        <v>2023-Feb</v>
      </c>
      <c r="G25" s="21" t="str">
        <v>2023-Apr</v>
      </c>
      <c r="H25" s="22">
        <f t="shared" si="1"/>
        <v>42.2</v>
      </c>
      <c r="I25" s="22">
        <f t="shared" si="2"/>
        <v>5.34</v>
      </c>
    </row>
    <row r="26" spans="1:9" x14ac:dyDescent="0.2">
      <c r="A26">
        <v>2023</v>
      </c>
      <c r="B26" t="s">
        <v>243</v>
      </c>
      <c r="C26" t="s">
        <v>249</v>
      </c>
      <c r="D26">
        <v>91.8</v>
      </c>
      <c r="E26">
        <v>5.43</v>
      </c>
      <c r="F26" t="str">
        <f t="shared" si="0"/>
        <v>2023-Sep</v>
      </c>
    </row>
    <row r="27" spans="1:9" x14ac:dyDescent="0.2">
      <c r="A27">
        <v>2023</v>
      </c>
      <c r="B27" t="s">
        <v>239</v>
      </c>
      <c r="C27" t="s">
        <v>251</v>
      </c>
      <c r="D27">
        <v>66.099999999999994</v>
      </c>
      <c r="E27">
        <v>1.59</v>
      </c>
      <c r="F27" t="str">
        <f t="shared" si="0"/>
        <v>2023-Dec</v>
      </c>
    </row>
    <row r="28" spans="1:9" x14ac:dyDescent="0.2">
      <c r="A28">
        <v>2023</v>
      </c>
      <c r="B28" t="s">
        <v>240</v>
      </c>
      <c r="C28" t="s">
        <v>251</v>
      </c>
      <c r="D28">
        <v>93.5</v>
      </c>
      <c r="E28">
        <v>2.04</v>
      </c>
      <c r="F28" t="str">
        <f t="shared" si="0"/>
        <v>2023-Nov</v>
      </c>
    </row>
    <row r="29" spans="1:9" x14ac:dyDescent="0.2">
      <c r="A29">
        <v>2023</v>
      </c>
      <c r="B29" t="s">
        <v>242</v>
      </c>
      <c r="C29" t="s">
        <v>250</v>
      </c>
      <c r="D29">
        <v>70</v>
      </c>
      <c r="E29">
        <v>0.91</v>
      </c>
      <c r="F29" t="str">
        <f t="shared" si="0"/>
        <v>2023-Oct</v>
      </c>
    </row>
    <row r="30" spans="1:9" x14ac:dyDescent="0.2">
      <c r="A30">
        <v>2023</v>
      </c>
      <c r="B30" t="s">
        <v>243</v>
      </c>
      <c r="C30" t="s">
        <v>250</v>
      </c>
      <c r="D30">
        <v>76.3</v>
      </c>
      <c r="E30">
        <v>1.54</v>
      </c>
      <c r="F30" t="str">
        <f t="shared" si="0"/>
        <v>2023-Sep</v>
      </c>
    </row>
    <row r="31" spans="1:9" x14ac:dyDescent="0.2">
      <c r="A31">
        <v>2023</v>
      </c>
      <c r="B31" t="s">
        <v>242</v>
      </c>
      <c r="C31" t="s">
        <v>250</v>
      </c>
      <c r="D31">
        <v>68.099999999999994</v>
      </c>
      <c r="E31">
        <v>4.54</v>
      </c>
      <c r="F31" t="str">
        <f t="shared" si="0"/>
        <v>2023-Oct</v>
      </c>
    </row>
    <row r="32" spans="1:9" x14ac:dyDescent="0.2">
      <c r="A32">
        <v>2022</v>
      </c>
      <c r="B32" t="s">
        <v>242</v>
      </c>
      <c r="C32" t="s">
        <v>249</v>
      </c>
      <c r="D32">
        <v>90.5</v>
      </c>
      <c r="E32">
        <v>5.3</v>
      </c>
      <c r="F32" t="str">
        <f t="shared" si="0"/>
        <v>2022-Oct</v>
      </c>
    </row>
    <row r="33" spans="1:6" x14ac:dyDescent="0.2">
      <c r="A33">
        <v>2022</v>
      </c>
      <c r="B33" t="s">
        <v>244</v>
      </c>
      <c r="C33" t="s">
        <v>252</v>
      </c>
      <c r="D33">
        <v>81.400000000000006</v>
      </c>
      <c r="E33">
        <v>0.18</v>
      </c>
      <c r="F33" t="str">
        <f t="shared" si="0"/>
        <v>2022-Jul</v>
      </c>
    </row>
    <row r="34" spans="1:6" x14ac:dyDescent="0.2">
      <c r="A34">
        <v>2022</v>
      </c>
      <c r="B34" t="s">
        <v>241</v>
      </c>
      <c r="C34" t="s">
        <v>251</v>
      </c>
      <c r="D34">
        <v>66.5</v>
      </c>
      <c r="E34">
        <v>7.97</v>
      </c>
      <c r="F34" t="str">
        <f t="shared" si="0"/>
        <v>2022-Jan</v>
      </c>
    </row>
    <row r="35" spans="1:6" x14ac:dyDescent="0.2">
      <c r="A35">
        <v>2022</v>
      </c>
      <c r="B35" t="s">
        <v>244</v>
      </c>
      <c r="C35" t="s">
        <v>251</v>
      </c>
      <c r="D35">
        <v>90.8</v>
      </c>
      <c r="E35">
        <v>2.94</v>
      </c>
      <c r="F35" t="str">
        <f t="shared" si="0"/>
        <v>2022-Jul</v>
      </c>
    </row>
    <row r="36" spans="1:6" x14ac:dyDescent="0.2">
      <c r="A36">
        <v>2023</v>
      </c>
      <c r="B36" t="s">
        <v>242</v>
      </c>
      <c r="C36" t="s">
        <v>251</v>
      </c>
      <c r="D36">
        <v>47.2</v>
      </c>
      <c r="E36">
        <v>9.1199999999999992</v>
      </c>
      <c r="F36" t="str">
        <f t="shared" si="0"/>
        <v>2023-Oct</v>
      </c>
    </row>
    <row r="37" spans="1:6" x14ac:dyDescent="0.2">
      <c r="A37">
        <v>2022</v>
      </c>
      <c r="B37" t="s">
        <v>238</v>
      </c>
      <c r="C37" t="s">
        <v>249</v>
      </c>
      <c r="D37">
        <v>41</v>
      </c>
      <c r="E37">
        <v>9.68</v>
      </c>
      <c r="F37" t="str">
        <f t="shared" si="0"/>
        <v>2022-May</v>
      </c>
    </row>
    <row r="38" spans="1:6" x14ac:dyDescent="0.2">
      <c r="A38">
        <v>2023</v>
      </c>
      <c r="B38" t="s">
        <v>246</v>
      </c>
      <c r="C38" t="s">
        <v>250</v>
      </c>
      <c r="D38">
        <v>41.2</v>
      </c>
      <c r="E38">
        <v>1.85</v>
      </c>
      <c r="F38" t="str">
        <f t="shared" si="0"/>
        <v>2023-Jun</v>
      </c>
    </row>
    <row r="39" spans="1:6" x14ac:dyDescent="0.2">
      <c r="A39">
        <v>2022</v>
      </c>
      <c r="B39" t="s">
        <v>242</v>
      </c>
      <c r="C39" t="s">
        <v>252</v>
      </c>
      <c r="D39">
        <v>53.4</v>
      </c>
      <c r="E39">
        <v>4.62</v>
      </c>
      <c r="F39" t="str">
        <f t="shared" si="0"/>
        <v>2022-Oct</v>
      </c>
    </row>
    <row r="40" spans="1:6" x14ac:dyDescent="0.2">
      <c r="A40">
        <v>2022</v>
      </c>
      <c r="B40" t="s">
        <v>244</v>
      </c>
      <c r="C40" t="s">
        <v>249</v>
      </c>
      <c r="D40">
        <v>46.7</v>
      </c>
      <c r="E40">
        <v>0.01</v>
      </c>
      <c r="F40" t="str">
        <f t="shared" si="0"/>
        <v>2022-Jul</v>
      </c>
    </row>
    <row r="41" spans="1:6" x14ac:dyDescent="0.2">
      <c r="A41">
        <v>2022</v>
      </c>
      <c r="B41" t="s">
        <v>238</v>
      </c>
      <c r="C41" t="s">
        <v>250</v>
      </c>
      <c r="D41">
        <v>95.1</v>
      </c>
      <c r="E41">
        <v>5.98</v>
      </c>
      <c r="F41" t="str">
        <f t="shared" si="0"/>
        <v>2022-May</v>
      </c>
    </row>
    <row r="42" spans="1:6" x14ac:dyDescent="0.2">
      <c r="A42">
        <v>2023</v>
      </c>
      <c r="B42" t="s">
        <v>244</v>
      </c>
      <c r="C42" t="s">
        <v>249</v>
      </c>
      <c r="D42">
        <v>37.4</v>
      </c>
      <c r="E42">
        <v>6.07</v>
      </c>
      <c r="F42" t="str">
        <f t="shared" si="0"/>
        <v>2023-Jul</v>
      </c>
    </row>
    <row r="43" spans="1:6" x14ac:dyDescent="0.2">
      <c r="A43">
        <v>2022</v>
      </c>
      <c r="B43" t="s">
        <v>243</v>
      </c>
      <c r="C43" t="s">
        <v>252</v>
      </c>
      <c r="D43">
        <v>78.900000000000006</v>
      </c>
      <c r="E43">
        <v>2.48</v>
      </c>
      <c r="F43" t="str">
        <f t="shared" si="0"/>
        <v>2022-Sep</v>
      </c>
    </row>
    <row r="44" spans="1:6" x14ac:dyDescent="0.2">
      <c r="A44">
        <v>2023</v>
      </c>
      <c r="B44" t="s">
        <v>237</v>
      </c>
      <c r="C44" t="s">
        <v>250</v>
      </c>
      <c r="D44">
        <v>43.2</v>
      </c>
      <c r="E44">
        <v>5.58</v>
      </c>
      <c r="F44" t="str">
        <f t="shared" si="0"/>
        <v>2023-Mar</v>
      </c>
    </row>
    <row r="45" spans="1:6" x14ac:dyDescent="0.2">
      <c r="A45">
        <v>2023</v>
      </c>
      <c r="B45" t="s">
        <v>245</v>
      </c>
      <c r="C45" t="s">
        <v>249</v>
      </c>
      <c r="D45">
        <v>91.7</v>
      </c>
      <c r="E45">
        <v>2.2599999999999998</v>
      </c>
      <c r="F45" t="str">
        <f t="shared" si="0"/>
        <v>2023-Aug</v>
      </c>
    </row>
    <row r="46" spans="1:6" x14ac:dyDescent="0.2">
      <c r="A46">
        <v>2022</v>
      </c>
      <c r="B46" t="s">
        <v>247</v>
      </c>
      <c r="C46" t="s">
        <v>252</v>
      </c>
      <c r="D46">
        <v>97.3</v>
      </c>
      <c r="E46">
        <v>1.61</v>
      </c>
      <c r="F46" t="str">
        <f t="shared" si="0"/>
        <v>2022-Feb</v>
      </c>
    </row>
    <row r="47" spans="1:6" x14ac:dyDescent="0.2">
      <c r="A47">
        <v>2022</v>
      </c>
      <c r="B47" t="s">
        <v>240</v>
      </c>
      <c r="C47" t="s">
        <v>251</v>
      </c>
      <c r="D47">
        <v>62.6</v>
      </c>
      <c r="E47">
        <v>6.52</v>
      </c>
      <c r="F47" t="str">
        <f t="shared" si="0"/>
        <v>2022-Nov</v>
      </c>
    </row>
    <row r="48" spans="1:6" x14ac:dyDescent="0.2">
      <c r="A48">
        <v>2022</v>
      </c>
      <c r="B48" t="s">
        <v>244</v>
      </c>
      <c r="C48" t="s">
        <v>252</v>
      </c>
      <c r="D48">
        <v>91.5</v>
      </c>
      <c r="E48">
        <v>3.26</v>
      </c>
      <c r="F48" t="str">
        <f t="shared" si="0"/>
        <v>2022-Jul</v>
      </c>
    </row>
    <row r="49" spans="1:6" x14ac:dyDescent="0.2">
      <c r="A49">
        <v>2023</v>
      </c>
      <c r="B49" t="s">
        <v>247</v>
      </c>
      <c r="C49" t="s">
        <v>251</v>
      </c>
      <c r="D49">
        <v>30.4</v>
      </c>
      <c r="E49">
        <v>5.9</v>
      </c>
      <c r="F49" t="str">
        <f t="shared" si="0"/>
        <v>2023-Feb</v>
      </c>
    </row>
    <row r="50" spans="1:6" x14ac:dyDescent="0.2">
      <c r="A50">
        <v>2022</v>
      </c>
      <c r="B50" t="s">
        <v>248</v>
      </c>
      <c r="C50" t="s">
        <v>249</v>
      </c>
      <c r="D50">
        <v>87.4</v>
      </c>
      <c r="E50">
        <v>4.33</v>
      </c>
      <c r="F50" t="str">
        <f t="shared" si="0"/>
        <v>2022-Apr</v>
      </c>
    </row>
    <row r="51" spans="1:6" x14ac:dyDescent="0.2">
      <c r="A51">
        <v>2023</v>
      </c>
      <c r="B51" t="s">
        <v>244</v>
      </c>
      <c r="C51" t="s">
        <v>250</v>
      </c>
      <c r="D51">
        <v>46</v>
      </c>
      <c r="E51">
        <v>9.84</v>
      </c>
      <c r="F51" t="str">
        <f t="shared" si="0"/>
        <v>2023-Jul</v>
      </c>
    </row>
    <row r="52" spans="1:6" x14ac:dyDescent="0.2">
      <c r="A52">
        <v>2023</v>
      </c>
      <c r="B52" t="s">
        <v>237</v>
      </c>
      <c r="C52" t="s">
        <v>250</v>
      </c>
      <c r="D52">
        <v>93.6</v>
      </c>
      <c r="E52">
        <v>1.5</v>
      </c>
      <c r="F52" t="str">
        <f t="shared" si="0"/>
        <v>2023-Mar</v>
      </c>
    </row>
    <row r="53" spans="1:6" x14ac:dyDescent="0.2">
      <c r="A53">
        <v>2022</v>
      </c>
      <c r="B53" t="s">
        <v>247</v>
      </c>
      <c r="C53" t="s">
        <v>249</v>
      </c>
      <c r="D53">
        <v>30.1</v>
      </c>
      <c r="E53">
        <v>4.6500000000000004</v>
      </c>
      <c r="F53" t="str">
        <f t="shared" si="0"/>
        <v>2022-Feb</v>
      </c>
    </row>
    <row r="54" spans="1:6" x14ac:dyDescent="0.2">
      <c r="A54">
        <v>2022</v>
      </c>
      <c r="B54" t="s">
        <v>240</v>
      </c>
      <c r="C54" t="s">
        <v>250</v>
      </c>
      <c r="D54">
        <v>68.900000000000006</v>
      </c>
      <c r="E54">
        <v>6.8</v>
      </c>
      <c r="F54" t="str">
        <f t="shared" si="0"/>
        <v>2022-Nov</v>
      </c>
    </row>
    <row r="55" spans="1:6" x14ac:dyDescent="0.2">
      <c r="A55">
        <v>2023</v>
      </c>
      <c r="B55" t="s">
        <v>242</v>
      </c>
      <c r="C55" t="s">
        <v>250</v>
      </c>
      <c r="D55">
        <v>83</v>
      </c>
      <c r="E55">
        <v>3.96</v>
      </c>
      <c r="F55" t="str">
        <f t="shared" si="0"/>
        <v>2023-Oct</v>
      </c>
    </row>
    <row r="56" spans="1:6" x14ac:dyDescent="0.2">
      <c r="A56">
        <v>2023</v>
      </c>
      <c r="B56" t="s">
        <v>244</v>
      </c>
      <c r="C56" t="s">
        <v>251</v>
      </c>
      <c r="D56">
        <v>48.1</v>
      </c>
      <c r="E56">
        <v>9.75</v>
      </c>
      <c r="F56" t="str">
        <f t="shared" si="0"/>
        <v>2023-Jul</v>
      </c>
    </row>
    <row r="57" spans="1:6" x14ac:dyDescent="0.2">
      <c r="A57">
        <v>2023</v>
      </c>
      <c r="B57" t="s">
        <v>241</v>
      </c>
      <c r="C57" t="s">
        <v>249</v>
      </c>
      <c r="D57">
        <v>43.5</v>
      </c>
      <c r="E57">
        <v>7.22</v>
      </c>
      <c r="F57" t="str">
        <f t="shared" si="0"/>
        <v>2023-Jan</v>
      </c>
    </row>
    <row r="58" spans="1:6" x14ac:dyDescent="0.2">
      <c r="A58">
        <v>2022</v>
      </c>
      <c r="B58" t="s">
        <v>245</v>
      </c>
      <c r="C58" t="s">
        <v>252</v>
      </c>
      <c r="D58">
        <v>35.9</v>
      </c>
      <c r="E58">
        <v>6.57</v>
      </c>
      <c r="F58" t="str">
        <f t="shared" si="0"/>
        <v>2022-Aug</v>
      </c>
    </row>
    <row r="59" spans="1:6" x14ac:dyDescent="0.2">
      <c r="A59">
        <v>2023</v>
      </c>
      <c r="B59" t="s">
        <v>237</v>
      </c>
      <c r="C59" t="s">
        <v>251</v>
      </c>
      <c r="D59">
        <v>52.9</v>
      </c>
      <c r="E59">
        <v>7.57</v>
      </c>
      <c r="F59" t="str">
        <f t="shared" si="0"/>
        <v>2023-Mar</v>
      </c>
    </row>
    <row r="60" spans="1:6" x14ac:dyDescent="0.2">
      <c r="A60">
        <v>2022</v>
      </c>
      <c r="B60" t="s">
        <v>239</v>
      </c>
      <c r="C60" t="s">
        <v>249</v>
      </c>
      <c r="D60">
        <v>69.2</v>
      </c>
      <c r="E60">
        <v>9.5299999999999994</v>
      </c>
      <c r="F60" t="str">
        <f t="shared" si="0"/>
        <v>2022-Dec</v>
      </c>
    </row>
    <row r="61" spans="1:6" x14ac:dyDescent="0.2">
      <c r="A61">
        <v>2023</v>
      </c>
      <c r="B61" t="s">
        <v>239</v>
      </c>
      <c r="C61" t="s">
        <v>251</v>
      </c>
      <c r="D61">
        <v>38.1</v>
      </c>
      <c r="E61">
        <v>9.08</v>
      </c>
      <c r="F61" t="str">
        <f t="shared" si="0"/>
        <v>2023-Dec</v>
      </c>
    </row>
    <row r="62" spans="1:6" x14ac:dyDescent="0.2">
      <c r="A62">
        <v>2023</v>
      </c>
      <c r="B62" t="s">
        <v>247</v>
      </c>
      <c r="C62" t="s">
        <v>252</v>
      </c>
      <c r="D62">
        <v>56.4</v>
      </c>
      <c r="E62">
        <v>7.24</v>
      </c>
      <c r="F62" t="str">
        <f t="shared" si="0"/>
        <v>2023-Feb</v>
      </c>
    </row>
    <row r="63" spans="1:6" x14ac:dyDescent="0.2">
      <c r="A63">
        <v>2022</v>
      </c>
      <c r="B63" t="s">
        <v>237</v>
      </c>
      <c r="C63" t="s">
        <v>252</v>
      </c>
      <c r="D63">
        <v>30.6</v>
      </c>
      <c r="E63">
        <v>7.49</v>
      </c>
      <c r="F63" t="str">
        <f t="shared" si="0"/>
        <v>2022-Mar</v>
      </c>
    </row>
    <row r="64" spans="1:6" x14ac:dyDescent="0.2">
      <c r="A64">
        <v>2023</v>
      </c>
      <c r="B64" t="s">
        <v>238</v>
      </c>
      <c r="C64" t="s">
        <v>249</v>
      </c>
      <c r="D64">
        <v>87.3</v>
      </c>
      <c r="E64">
        <v>1.46</v>
      </c>
      <c r="F64" t="str">
        <f t="shared" si="0"/>
        <v>2023-May</v>
      </c>
    </row>
    <row r="65" spans="1:6" x14ac:dyDescent="0.2">
      <c r="A65">
        <v>2022</v>
      </c>
      <c r="B65" t="s">
        <v>240</v>
      </c>
      <c r="C65" t="s">
        <v>252</v>
      </c>
      <c r="D65">
        <v>39</v>
      </c>
      <c r="E65">
        <v>1.03</v>
      </c>
      <c r="F65" t="str">
        <f t="shared" si="0"/>
        <v>2022-Nov</v>
      </c>
    </row>
    <row r="66" spans="1:6" x14ac:dyDescent="0.2">
      <c r="A66">
        <v>2022</v>
      </c>
      <c r="B66" t="s">
        <v>245</v>
      </c>
      <c r="C66" t="s">
        <v>251</v>
      </c>
      <c r="D66">
        <v>49.8</v>
      </c>
      <c r="E66">
        <v>5.71</v>
      </c>
      <c r="F66" t="str">
        <f t="shared" si="0"/>
        <v>2022-Aug</v>
      </c>
    </row>
    <row r="67" spans="1:6" x14ac:dyDescent="0.2">
      <c r="A67">
        <v>2023</v>
      </c>
      <c r="B67" t="s">
        <v>242</v>
      </c>
      <c r="C67" t="s">
        <v>252</v>
      </c>
      <c r="D67">
        <v>31.3</v>
      </c>
      <c r="E67">
        <v>0.18</v>
      </c>
      <c r="F67" t="str">
        <f t="shared" ref="F67:F101" si="3">A67 &amp; "-" &amp; B67</f>
        <v>2023-Oct</v>
      </c>
    </row>
    <row r="68" spans="1:6" x14ac:dyDescent="0.2">
      <c r="A68">
        <v>2022</v>
      </c>
      <c r="B68" t="s">
        <v>244</v>
      </c>
      <c r="C68" t="s">
        <v>251</v>
      </c>
      <c r="D68">
        <v>60.3</v>
      </c>
      <c r="E68">
        <v>4.82</v>
      </c>
      <c r="F68" t="str">
        <f t="shared" si="3"/>
        <v>2022-Jul</v>
      </c>
    </row>
    <row r="69" spans="1:6" x14ac:dyDescent="0.2">
      <c r="A69">
        <v>2022</v>
      </c>
      <c r="B69" t="s">
        <v>244</v>
      </c>
      <c r="C69" t="s">
        <v>251</v>
      </c>
      <c r="D69">
        <v>88.8</v>
      </c>
      <c r="E69">
        <v>2.1</v>
      </c>
      <c r="F69" t="str">
        <f t="shared" si="3"/>
        <v>2022-Jul</v>
      </c>
    </row>
    <row r="70" spans="1:6" x14ac:dyDescent="0.2">
      <c r="A70">
        <v>2023</v>
      </c>
      <c r="B70" t="s">
        <v>239</v>
      </c>
      <c r="C70" t="s">
        <v>252</v>
      </c>
      <c r="D70">
        <v>57.5</v>
      </c>
      <c r="E70">
        <v>3.46</v>
      </c>
      <c r="F70" t="str">
        <f t="shared" si="3"/>
        <v>2023-Dec</v>
      </c>
    </row>
    <row r="71" spans="1:6" x14ac:dyDescent="0.2">
      <c r="A71">
        <v>2022</v>
      </c>
      <c r="B71" t="s">
        <v>244</v>
      </c>
      <c r="C71" t="s">
        <v>249</v>
      </c>
      <c r="D71">
        <v>42.6</v>
      </c>
      <c r="E71">
        <v>7.76</v>
      </c>
      <c r="F71" t="str">
        <f t="shared" si="3"/>
        <v>2022-Jul</v>
      </c>
    </row>
    <row r="72" spans="1:6" x14ac:dyDescent="0.2">
      <c r="A72">
        <v>2022</v>
      </c>
      <c r="B72" t="s">
        <v>245</v>
      </c>
      <c r="C72" t="s">
        <v>250</v>
      </c>
      <c r="D72">
        <v>82.8</v>
      </c>
      <c r="E72">
        <v>9.41</v>
      </c>
      <c r="F72" t="str">
        <f t="shared" si="3"/>
        <v>2022-Aug</v>
      </c>
    </row>
    <row r="73" spans="1:6" x14ac:dyDescent="0.2">
      <c r="A73">
        <v>2022</v>
      </c>
      <c r="B73" t="s">
        <v>241</v>
      </c>
      <c r="C73" t="s">
        <v>252</v>
      </c>
      <c r="D73">
        <v>85.2</v>
      </c>
      <c r="E73">
        <v>0.72</v>
      </c>
      <c r="F73" t="str">
        <f t="shared" si="3"/>
        <v>2022-Jan</v>
      </c>
    </row>
    <row r="74" spans="1:6" x14ac:dyDescent="0.2">
      <c r="A74">
        <v>2023</v>
      </c>
      <c r="B74" t="s">
        <v>248</v>
      </c>
      <c r="C74" t="s">
        <v>251</v>
      </c>
      <c r="D74">
        <v>42.2</v>
      </c>
      <c r="E74">
        <v>5.34</v>
      </c>
      <c r="F74" t="str">
        <f t="shared" si="3"/>
        <v>2023-Apr</v>
      </c>
    </row>
    <row r="75" spans="1:6" x14ac:dyDescent="0.2">
      <c r="A75">
        <v>2022</v>
      </c>
      <c r="B75" t="s">
        <v>246</v>
      </c>
      <c r="C75" t="s">
        <v>251</v>
      </c>
      <c r="D75">
        <v>84</v>
      </c>
      <c r="E75">
        <v>8.83</v>
      </c>
      <c r="F75" t="str">
        <f t="shared" si="3"/>
        <v>2022-Jun</v>
      </c>
    </row>
    <row r="76" spans="1:6" x14ac:dyDescent="0.2">
      <c r="A76">
        <v>2023</v>
      </c>
      <c r="B76" t="s">
        <v>243</v>
      </c>
      <c r="C76" t="s">
        <v>252</v>
      </c>
      <c r="D76">
        <v>96.3</v>
      </c>
      <c r="E76">
        <v>0.83</v>
      </c>
      <c r="F76" t="str">
        <f t="shared" si="3"/>
        <v>2023-Sep</v>
      </c>
    </row>
    <row r="77" spans="1:6" x14ac:dyDescent="0.2">
      <c r="A77">
        <v>2023</v>
      </c>
      <c r="B77" t="s">
        <v>247</v>
      </c>
      <c r="C77" t="s">
        <v>249</v>
      </c>
      <c r="D77">
        <v>41.6</v>
      </c>
      <c r="E77">
        <v>8.25</v>
      </c>
      <c r="F77" t="str">
        <f t="shared" si="3"/>
        <v>2023-Feb</v>
      </c>
    </row>
    <row r="78" spans="1:6" x14ac:dyDescent="0.2">
      <c r="A78">
        <v>2022</v>
      </c>
      <c r="B78" t="s">
        <v>241</v>
      </c>
      <c r="C78" t="s">
        <v>249</v>
      </c>
      <c r="D78">
        <v>84</v>
      </c>
      <c r="E78">
        <v>3.58</v>
      </c>
      <c r="F78" t="str">
        <f t="shared" si="3"/>
        <v>2022-Jan</v>
      </c>
    </row>
    <row r="79" spans="1:6" x14ac:dyDescent="0.2">
      <c r="A79">
        <v>2022</v>
      </c>
      <c r="B79" t="s">
        <v>242</v>
      </c>
      <c r="C79" t="s">
        <v>251</v>
      </c>
      <c r="D79">
        <v>79.599999999999994</v>
      </c>
      <c r="E79">
        <v>3.22</v>
      </c>
      <c r="F79" t="str">
        <f t="shared" si="3"/>
        <v>2022-Oct</v>
      </c>
    </row>
    <row r="80" spans="1:6" x14ac:dyDescent="0.2">
      <c r="A80">
        <v>2022</v>
      </c>
      <c r="B80" t="s">
        <v>239</v>
      </c>
      <c r="C80" t="s">
        <v>251</v>
      </c>
      <c r="D80">
        <v>63.2</v>
      </c>
      <c r="E80">
        <v>9.77</v>
      </c>
      <c r="F80" t="str">
        <f t="shared" si="3"/>
        <v>2022-Dec</v>
      </c>
    </row>
    <row r="81" spans="1:6" x14ac:dyDescent="0.2">
      <c r="A81">
        <v>2023</v>
      </c>
      <c r="B81" t="s">
        <v>247</v>
      </c>
      <c r="C81" t="s">
        <v>249</v>
      </c>
      <c r="D81">
        <v>34.1</v>
      </c>
      <c r="E81">
        <v>2.0099999999999998</v>
      </c>
      <c r="F81" t="str">
        <f t="shared" si="3"/>
        <v>2023-Feb</v>
      </c>
    </row>
    <row r="82" spans="1:6" x14ac:dyDescent="0.2">
      <c r="A82">
        <v>2022</v>
      </c>
      <c r="B82" t="s">
        <v>244</v>
      </c>
      <c r="C82" t="s">
        <v>250</v>
      </c>
      <c r="D82">
        <v>35.200000000000003</v>
      </c>
      <c r="E82">
        <v>6.93</v>
      </c>
      <c r="F82" t="str">
        <f t="shared" si="3"/>
        <v>2022-Jul</v>
      </c>
    </row>
    <row r="83" spans="1:6" x14ac:dyDescent="0.2">
      <c r="A83">
        <v>2022</v>
      </c>
      <c r="B83" t="s">
        <v>237</v>
      </c>
      <c r="C83" t="s">
        <v>252</v>
      </c>
      <c r="D83">
        <v>89.7</v>
      </c>
      <c r="E83">
        <v>8.2100000000000009</v>
      </c>
      <c r="F83" t="str">
        <f t="shared" si="3"/>
        <v>2022-Mar</v>
      </c>
    </row>
    <row r="84" spans="1:6" x14ac:dyDescent="0.2">
      <c r="A84">
        <v>2022</v>
      </c>
      <c r="B84" t="s">
        <v>242</v>
      </c>
      <c r="C84" t="s">
        <v>251</v>
      </c>
      <c r="D84">
        <v>99.3</v>
      </c>
      <c r="E84">
        <v>0.41</v>
      </c>
      <c r="F84" t="str">
        <f t="shared" si="3"/>
        <v>2022-Oct</v>
      </c>
    </row>
    <row r="85" spans="1:6" x14ac:dyDescent="0.2">
      <c r="A85">
        <v>2022</v>
      </c>
      <c r="B85" t="s">
        <v>247</v>
      </c>
      <c r="C85" t="s">
        <v>251</v>
      </c>
      <c r="D85">
        <v>77.3</v>
      </c>
      <c r="E85">
        <v>6.7</v>
      </c>
      <c r="F85" t="str">
        <f t="shared" si="3"/>
        <v>2022-Feb</v>
      </c>
    </row>
    <row r="86" spans="1:6" x14ac:dyDescent="0.2">
      <c r="A86">
        <v>2022</v>
      </c>
      <c r="B86" t="s">
        <v>240</v>
      </c>
      <c r="C86" t="s">
        <v>249</v>
      </c>
      <c r="D86">
        <v>61.2</v>
      </c>
      <c r="E86">
        <v>9.52</v>
      </c>
      <c r="F86" t="str">
        <f t="shared" si="3"/>
        <v>2022-Nov</v>
      </c>
    </row>
    <row r="87" spans="1:6" x14ac:dyDescent="0.2">
      <c r="A87">
        <v>2023</v>
      </c>
      <c r="B87" t="s">
        <v>244</v>
      </c>
      <c r="C87" t="s">
        <v>252</v>
      </c>
      <c r="D87">
        <v>75.3</v>
      </c>
      <c r="E87">
        <v>1.24</v>
      </c>
      <c r="F87" t="str">
        <f t="shared" si="3"/>
        <v>2023-Jul</v>
      </c>
    </row>
    <row r="88" spans="1:6" x14ac:dyDescent="0.2">
      <c r="A88">
        <v>2023</v>
      </c>
      <c r="B88" t="s">
        <v>247</v>
      </c>
      <c r="C88" t="s">
        <v>249</v>
      </c>
      <c r="D88">
        <v>71.599999999999994</v>
      </c>
      <c r="E88">
        <v>8.9600000000000009</v>
      </c>
      <c r="F88" t="str">
        <f t="shared" si="3"/>
        <v>2023-Feb</v>
      </c>
    </row>
    <row r="89" spans="1:6" x14ac:dyDescent="0.2">
      <c r="A89">
        <v>2022</v>
      </c>
      <c r="B89" t="s">
        <v>237</v>
      </c>
      <c r="C89" t="s">
        <v>252</v>
      </c>
      <c r="D89">
        <v>56.9</v>
      </c>
      <c r="E89">
        <v>5.95</v>
      </c>
      <c r="F89" t="str">
        <f t="shared" si="3"/>
        <v>2022-Mar</v>
      </c>
    </row>
    <row r="90" spans="1:6" x14ac:dyDescent="0.2">
      <c r="A90">
        <v>2022</v>
      </c>
      <c r="B90" t="s">
        <v>240</v>
      </c>
      <c r="C90" t="s">
        <v>252</v>
      </c>
      <c r="D90">
        <v>34.6</v>
      </c>
      <c r="E90">
        <v>6.17</v>
      </c>
      <c r="F90" t="str">
        <f t="shared" si="3"/>
        <v>2022-Nov</v>
      </c>
    </row>
    <row r="91" spans="1:6" x14ac:dyDescent="0.2">
      <c r="A91">
        <v>2022</v>
      </c>
      <c r="B91" t="s">
        <v>244</v>
      </c>
      <c r="C91" t="s">
        <v>252</v>
      </c>
      <c r="D91">
        <v>87.5</v>
      </c>
      <c r="E91">
        <v>6.13</v>
      </c>
      <c r="F91" t="str">
        <f t="shared" si="3"/>
        <v>2022-Jul</v>
      </c>
    </row>
    <row r="92" spans="1:6" x14ac:dyDescent="0.2">
      <c r="A92">
        <v>2022</v>
      </c>
      <c r="B92" t="s">
        <v>248</v>
      </c>
      <c r="C92" t="s">
        <v>251</v>
      </c>
      <c r="D92">
        <v>56</v>
      </c>
      <c r="E92">
        <v>2.99</v>
      </c>
      <c r="F92" t="str">
        <f t="shared" si="3"/>
        <v>2022-Apr</v>
      </c>
    </row>
    <row r="93" spans="1:6" x14ac:dyDescent="0.2">
      <c r="A93">
        <v>2023</v>
      </c>
      <c r="B93" t="s">
        <v>241</v>
      </c>
      <c r="C93" t="s">
        <v>250</v>
      </c>
      <c r="D93">
        <v>87.3</v>
      </c>
      <c r="E93">
        <v>9.35</v>
      </c>
      <c r="F93" t="str">
        <f t="shared" si="3"/>
        <v>2023-Jan</v>
      </c>
    </row>
    <row r="94" spans="1:6" x14ac:dyDescent="0.2">
      <c r="A94">
        <v>2022</v>
      </c>
      <c r="B94" t="s">
        <v>238</v>
      </c>
      <c r="C94" t="s">
        <v>249</v>
      </c>
      <c r="D94">
        <v>47.7</v>
      </c>
      <c r="E94">
        <v>9.4700000000000006</v>
      </c>
      <c r="F94" t="str">
        <f t="shared" si="3"/>
        <v>2022-May</v>
      </c>
    </row>
    <row r="95" spans="1:6" x14ac:dyDescent="0.2">
      <c r="A95">
        <v>2023</v>
      </c>
      <c r="B95" t="s">
        <v>239</v>
      </c>
      <c r="C95" t="s">
        <v>250</v>
      </c>
      <c r="D95">
        <v>30.1</v>
      </c>
      <c r="E95">
        <v>6.25</v>
      </c>
      <c r="F95" t="str">
        <f t="shared" si="3"/>
        <v>2023-Dec</v>
      </c>
    </row>
    <row r="96" spans="1:6" x14ac:dyDescent="0.2">
      <c r="A96">
        <v>2023</v>
      </c>
      <c r="B96" t="s">
        <v>243</v>
      </c>
      <c r="C96" t="s">
        <v>249</v>
      </c>
      <c r="D96">
        <v>41.1</v>
      </c>
      <c r="E96">
        <v>7.83</v>
      </c>
      <c r="F96" t="str">
        <f t="shared" si="3"/>
        <v>2023-Sep</v>
      </c>
    </row>
    <row r="97" spans="1:6" x14ac:dyDescent="0.2">
      <c r="A97">
        <v>2022</v>
      </c>
      <c r="B97" t="s">
        <v>245</v>
      </c>
      <c r="C97" t="s">
        <v>252</v>
      </c>
      <c r="D97">
        <v>62.8</v>
      </c>
      <c r="E97">
        <v>6.12</v>
      </c>
      <c r="F97" t="str">
        <f t="shared" si="3"/>
        <v>2022-Aug</v>
      </c>
    </row>
    <row r="98" spans="1:6" x14ac:dyDescent="0.2">
      <c r="A98">
        <v>2023</v>
      </c>
      <c r="B98" t="s">
        <v>239</v>
      </c>
      <c r="C98" t="s">
        <v>251</v>
      </c>
      <c r="D98">
        <v>96.1</v>
      </c>
      <c r="E98">
        <v>4.84</v>
      </c>
      <c r="F98" t="str">
        <f t="shared" si="3"/>
        <v>2023-Dec</v>
      </c>
    </row>
    <row r="99" spans="1:6" x14ac:dyDescent="0.2">
      <c r="A99">
        <v>2023</v>
      </c>
      <c r="B99" t="s">
        <v>243</v>
      </c>
      <c r="C99" t="s">
        <v>250</v>
      </c>
      <c r="D99">
        <v>37.200000000000003</v>
      </c>
      <c r="E99">
        <v>6.61</v>
      </c>
      <c r="F99" t="str">
        <f t="shared" si="3"/>
        <v>2023-Sep</v>
      </c>
    </row>
    <row r="100" spans="1:6" x14ac:dyDescent="0.2">
      <c r="A100">
        <v>2023</v>
      </c>
      <c r="B100" t="s">
        <v>242</v>
      </c>
      <c r="C100" t="s">
        <v>251</v>
      </c>
      <c r="D100">
        <v>89.8</v>
      </c>
      <c r="E100">
        <v>5.53</v>
      </c>
      <c r="F100" t="str">
        <f t="shared" si="3"/>
        <v>2023-Oct</v>
      </c>
    </row>
    <row r="101" spans="1:6" x14ac:dyDescent="0.2">
      <c r="A101">
        <v>2023</v>
      </c>
      <c r="B101" t="s">
        <v>243</v>
      </c>
      <c r="C101" t="s">
        <v>249</v>
      </c>
      <c r="D101">
        <v>66.900000000000006</v>
      </c>
      <c r="E101">
        <v>5.97</v>
      </c>
      <c r="F101" t="str">
        <f t="shared" si="3"/>
        <v>2023-Sep</v>
      </c>
    </row>
  </sheetData>
  <conditionalFormatting sqref="D1">
    <cfRule type="cellIs" dxfId="2" priority="3" operator="greaterThan">
      <formula>90</formula>
    </cfRule>
  </conditionalFormatting>
  <conditionalFormatting sqref="D2:D101">
    <cfRule type="cellIs" dxfId="1" priority="2" operator="greaterThan">
      <formula>90</formula>
    </cfRule>
  </conditionalFormatting>
  <conditionalFormatting sqref="E2:E101">
    <cfRule type="cellIs" dxfId="0" priority="1" operator="less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Dataset1_SalesData</vt:lpstr>
      <vt:lpstr>Analysis_1</vt:lpstr>
      <vt:lpstr>Dataset2_EmployeeSales</vt:lpstr>
      <vt:lpstr>Analysis_2</vt:lpstr>
      <vt:lpstr>Dataset3_RetailStock</vt:lpstr>
      <vt:lpstr>Dataset4_Transactions</vt:lpstr>
      <vt:lpstr>Analysis_4</vt:lpstr>
      <vt:lpstr>Dataset5_WeatherData</vt:lpstr>
      <vt:lpstr>Cost_Per_Unit</vt:lpstr>
      <vt:lpstr>Region</vt:lpstr>
      <vt:lpstr>Sales</vt:lpstr>
      <vt:lpstr>Stock_Level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Yasoda Rana</cp:lastModifiedBy>
  <dcterms:created xsi:type="dcterms:W3CDTF">2024-11-19T22:55:44Z</dcterms:created>
  <dcterms:modified xsi:type="dcterms:W3CDTF">2024-11-21T03:08:53Z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{47E4A56A-9E37-4728-993F-90EF184641C4}</vt:lpwstr>
  </property>
</Properties>
</file>